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updateLinks="always" defaultThemeVersion="166925"/>
  <xr:revisionPtr revIDLastSave="0" documentId="8_{12989515-B396-4A7A-BF63-652F518125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talogo" sheetId="1" r:id="rId1"/>
    <sheet name="dicionario" sheetId="2" r:id="rId2"/>
    <sheet name="SMS_atendimentos_ubs" sheetId="3" r:id="rId3"/>
    <sheet name="SMS_vacinacao" sheetId="4" r:id="rId4"/>
    <sheet name="SME_matriculas_escolas" sheetId="5" r:id="rId5"/>
    <sheet name="SAS_familias_cras" sheetId="6" r:id="rId6"/>
    <sheet name="SAS_chamados_ti" sheetId="7" r:id="rId7"/>
    <sheet name="Sujeiras" sheetId="8" r:id="rId8"/>
  </sheets>
  <definedNames>
    <definedName name="_xlnm._FilterDatabase" localSheetId="5" hidden="1">SAS_familias_cras!$M$1:$M$1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  <c r="G2" i="1"/>
  <c r="G3" i="1"/>
  <c r="G4" i="1"/>
  <c r="G6" i="1"/>
  <c r="G5" i="1"/>
</calcChain>
</file>

<file path=xl/sharedStrings.xml><?xml version="1.0" encoding="utf-8"?>
<sst xmlns="http://schemas.openxmlformats.org/spreadsheetml/2006/main" count="641" uniqueCount="153">
  <si>
    <t>Aba</t>
  </si>
  <si>
    <t>Dataset</t>
  </si>
  <si>
    <t>Secretaria</t>
  </si>
  <si>
    <t>Formato</t>
  </si>
  <si>
    <t xml:space="preserve">Período </t>
  </si>
  <si>
    <t>Classificacao</t>
  </si>
  <si>
    <t>contem_dados pessoais</t>
  </si>
  <si>
    <t>campos_em_comum</t>
  </si>
  <si>
    <t>Período verificado</t>
  </si>
  <si>
    <t>linhas_de_dados</t>
  </si>
  <si>
    <t>OBS</t>
  </si>
  <si>
    <t>SMS_atendimentos_ubs</t>
  </si>
  <si>
    <t>Atendimentos nas UBS</t>
  </si>
  <si>
    <t>SMS</t>
  </si>
  <si>
    <t>xlsx</t>
  </si>
  <si>
    <t>mensal</t>
  </si>
  <si>
    <t>restrito</t>
  </si>
  <si>
    <t>bairro, unidade</t>
  </si>
  <si>
    <t>07/2026 a 08/2026</t>
  </si>
  <si>
    <t>SME_vacinacao</t>
  </si>
  <si>
    <t>Vacinação nas UBS</t>
  </si>
  <si>
    <t>publico</t>
  </si>
  <si>
    <t>SME_matriculas_escolas</t>
  </si>
  <si>
    <t>Matrículas por Escola</t>
  </si>
  <si>
    <t>SME</t>
  </si>
  <si>
    <t>csv</t>
  </si>
  <si>
    <t>anual</t>
  </si>
  <si>
    <t>bairro</t>
  </si>
  <si>
    <t>Uma secretaria pode ter várias escolas por bairro</t>
  </si>
  <si>
    <t>SAS_familias_cras</t>
  </si>
  <si>
    <t>Famílias cadastradas</t>
  </si>
  <si>
    <t>SAS</t>
  </si>
  <si>
    <t>sigiloso</t>
  </si>
  <si>
    <t>Foi colocado TRUE pq seria teria dados pessoas que se colocados inferem a LGPD</t>
  </si>
  <si>
    <t>SETI_chamado_ti</t>
  </si>
  <si>
    <t>Chamados de Suporte de TI</t>
  </si>
  <si>
    <t>SETI</t>
  </si>
  <si>
    <t>secretaria</t>
  </si>
  <si>
    <t>Único que vai cruzar por secretaria</t>
  </si>
  <si>
    <t>aba</t>
  </si>
  <si>
    <t>nome_coluna</t>
  </si>
  <si>
    <t>tipo_dado</t>
  </si>
  <si>
    <t>descricao</t>
  </si>
  <si>
    <t>obrigatoria</t>
  </si>
  <si>
    <t>exemplo</t>
  </si>
  <si>
    <t>data_referencia</t>
  </si>
  <si>
    <t>data</t>
  </si>
  <si>
    <t>Primeiro dia do mês a que o dado se refere</t>
  </si>
  <si>
    <t>unidade</t>
  </si>
  <si>
    <t>texto</t>
  </si>
  <si>
    <t>Nome da UBS</t>
  </si>
  <si>
    <t>UBS Exemplo Centro</t>
  </si>
  <si>
    <t>Bairro da unidade (deve bater com a tabela bairro)</t>
  </si>
  <si>
    <t>Centro</t>
  </si>
  <si>
    <t>tipo_atendimento</t>
  </si>
  <si>
    <t>Consulta médica, Enfermagem ou Odontológico</t>
  </si>
  <si>
    <t>Enfermagem</t>
  </si>
  <si>
    <t>qtd_atendimentos</t>
  </si>
  <si>
    <t>inteiro</t>
  </si>
  <si>
    <t>Atendimentos realizados no mês</t>
  </si>
  <si>
    <t>SMS_vacinacao</t>
  </si>
  <si>
    <t>UBS Exemplo Fragata</t>
  </si>
  <si>
    <t>Bairro da unidade</t>
  </si>
  <si>
    <t>Fragata</t>
  </si>
  <si>
    <t>vacina</t>
  </si>
  <si>
    <t>Vacina aplicada</t>
  </si>
  <si>
    <t>Influenza</t>
  </si>
  <si>
    <t>doses_aplicadas</t>
  </si>
  <si>
    <t>Doses aplicadas no mês</t>
  </si>
  <si>
    <t>meta_doses</t>
  </si>
  <si>
    <t>Meta de doses do mês para a unidade</t>
  </si>
  <si>
    <t>ano_letivo</t>
  </si>
  <si>
    <t>Ano letivo das matrículas</t>
  </si>
  <si>
    <t>escola</t>
  </si>
  <si>
    <t>Nome da escola</t>
  </si>
  <si>
    <t>Escola Exemplo Palmital</t>
  </si>
  <si>
    <t>Bairro da escola</t>
  </si>
  <si>
    <t>Palmital</t>
  </si>
  <si>
    <t>etapa</t>
  </si>
  <si>
    <t>Educação Infantil, Fundamental I ou Fundamental II</t>
  </si>
  <si>
    <t>Fundamental I</t>
  </si>
  <si>
    <t>qtd_matriculas</t>
  </si>
  <si>
    <t>Alunos matriculados na etapa</t>
  </si>
  <si>
    <t>qtd_turmas</t>
  </si>
  <si>
    <t>Turmas abertas na etapa</t>
  </si>
  <si>
    <t>cras</t>
  </si>
  <si>
    <t>Nome do CRAS</t>
  </si>
  <si>
    <t>CRAS Exemplo Cascata</t>
  </si>
  <si>
    <t>Bairro do CRAS</t>
  </si>
  <si>
    <t>Cascata</t>
  </si>
  <si>
    <t>familias_cadunico</t>
  </si>
  <si>
    <t>Total de famílias no Cadastro Único (só total, sem identificação)</t>
  </si>
  <si>
    <t>familias_em_acompanhamento</t>
  </si>
  <si>
    <t>Famílias em acompanhamento no mês</t>
  </si>
  <si>
    <t>atendimentos_realizados</t>
  </si>
  <si>
    <t>SETI_chamados_ti</t>
  </si>
  <si>
    <t>Sigla da secretaria que abriu o chamado (deve bater com secretaria.sigla)</t>
  </si>
  <si>
    <t>tipo_chamado</t>
  </si>
  <si>
    <t>Hardware, Rede ou Sistema</t>
  </si>
  <si>
    <t>Rede</t>
  </si>
  <si>
    <t>qtd_chamados</t>
  </si>
  <si>
    <t>Chamados abertos no mês</t>
  </si>
  <si>
    <t>tempo_medio_horas</t>
  </si>
  <si>
    <t>decimal</t>
  </si>
  <si>
    <t>Tempo médio de resolução em horas</t>
  </si>
  <si>
    <t>6.5</t>
  </si>
  <si>
    <t>Consulta médica</t>
  </si>
  <si>
    <t>Odontológico</t>
  </si>
  <si>
    <t>FRAGATA</t>
  </si>
  <si>
    <t>UBS Exemplo Palmital</t>
  </si>
  <si>
    <t xml:space="preserve">Palmital </t>
  </si>
  <si>
    <t>UBS Exemplo Cascata</t>
  </si>
  <si>
    <t>centro</t>
  </si>
  <si>
    <t>Tríplice viral</t>
  </si>
  <si>
    <t>Hepatite B</t>
  </si>
  <si>
    <t>UBS Ex. Cascata</t>
  </si>
  <si>
    <t>fragata</t>
  </si>
  <si>
    <t>2026-08</t>
  </si>
  <si>
    <t>Escola Exemplo Centro</t>
  </si>
  <si>
    <t>Educação Infantil</t>
  </si>
  <si>
    <t>Fundamental II</t>
  </si>
  <si>
    <t>Escola Exemplo Centro II</t>
  </si>
  <si>
    <t>CENTRO</t>
  </si>
  <si>
    <t>Escola Exemplo Fragata</t>
  </si>
  <si>
    <t>Escola Exemplo Fragata II</t>
  </si>
  <si>
    <t>Escola Exemplo Fragata 2</t>
  </si>
  <si>
    <t>Escola Exemplo Palmital II</t>
  </si>
  <si>
    <t>Escola Exemplo Cascata</t>
  </si>
  <si>
    <t>Escola Exemplo Cascata II</t>
  </si>
  <si>
    <t>CRAS Exemplo Centro</t>
  </si>
  <si>
    <t>CRAS Exemplo Fragata</t>
  </si>
  <si>
    <t>CRAS Exemplo Palmital</t>
  </si>
  <si>
    <t>CRAS Cascata</t>
  </si>
  <si>
    <t>cascata</t>
  </si>
  <si>
    <t>Hardware</t>
  </si>
  <si>
    <t>Sistema</t>
  </si>
  <si>
    <t>Saúde</t>
  </si>
  <si>
    <t>linha_excel</t>
  </si>
  <si>
    <t>coluna</t>
  </si>
  <si>
    <t>tipo_de_problema</t>
  </si>
  <si>
    <t>valor_na_planilha</t>
  </si>
  <si>
    <t>valor_correto</t>
  </si>
  <si>
    <t>impacto_no_banco</t>
  </si>
  <si>
    <t>Bairro com caixa/espaço diferente</t>
  </si>
  <si>
    <t>GROUP BY e JOIN tratam 'Centro' e 'centro ' como bairros diferentes</t>
  </si>
  <si>
    <t>Data gravada como texto</t>
  </si>
  <si>
    <t>Coluna de data deixa de ser data; ordenação e filtro por período falham</t>
  </si>
  <si>
    <t>Valor numérico ausente</t>
  </si>
  <si>
    <t>(vazio)</t>
  </si>
  <si>
    <t>Somas e médias saem erradas; célula vazia vira NULL no banco</t>
  </si>
  <si>
    <t>Nome inconsistente</t>
  </si>
  <si>
    <t>O mesmo órgão/unidade aparece com dois nomes; o cruzamento entre datasets perde linhas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</si>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</sst>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5FA6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1" fillId="2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1" fillId="2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7" fontId="2" fillId="0" borderId="0" xfId="0" applyNumberFormat="1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4">
    <dxf>
      <alignment horizontal="center"/>
    </dxf>
    <dxf>
      <numFmt numFmtId="0" formatCode="General"/>
    </dxf>
    <dxf>
      <alignment horizontal="center" vertical="center" wrapText="1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3F641-0523-4C4D-B4EE-E5211427BF9C}" name="Tabela1" displayName="Tabela1" ref="A1:K6" totalsRowShown="0">
  <autoFilter ref="A1:K6" xr:uid="{6103F641-0523-4C4D-B4EE-E5211427BF9C}"/>
  <tableColumns count="11">
    <tableColumn id="1" xr3:uid="{CE64115C-F285-405C-9168-3E9000D294C5}" name="Aba"/>
    <tableColumn id="2" xr3:uid="{61B18B23-6E04-4C8B-8BAD-698B46CACBBC}" name="Dataset"/>
    <tableColumn id="3" xr3:uid="{D62C6479-C64B-4EB3-82DE-5525E777B81B}" name="Secretaria"/>
    <tableColumn id="4" xr3:uid="{9A5B0D36-E198-4222-9757-F5EEA6927806}" name="Formato"/>
    <tableColumn id="5" xr3:uid="{2D20ACB6-3704-41EA-AECD-35D329BAA848}" name="Período "/>
    <tableColumn id="6" xr3:uid="{D16C63D9-4FA9-4948-B049-BEDB1234F188}" name="Classificacao"/>
    <tableColumn id="7" xr3:uid="{B26AA739-ABA1-4B60-B074-22A851617AD1}" name="contem_dados pessoais" dataDxfId="3">
      <calculatedColumnFormula>_xleta.T</calculatedColumnFormula>
    </tableColumn>
    <tableColumn id="8" xr3:uid="{FBC481E2-67CD-43C4-86D3-1F57F21AFF86}" name="campos_em_comum"/>
    <tableColumn id="9" xr3:uid="{9B357DD4-4A64-4F36-A159-5A8FEA6DA5FF}" name="Período verificado" dataDxfId="2"/>
    <tableColumn id="10" xr3:uid="{34B74EEE-0B61-47EC-95AC-BCDF800CA788}" name="linhas_de_dados" dataDxfId="1">
      <calculatedColumnFormula>COUNTA(SMS_atendimentos_ubs!A:A)-1</calculatedColumnFormula>
    </tableColumn>
    <tableColumn id="11" xr3:uid="{5F0886B7-3894-4795-88D0-B15A6C297BDA}" name="O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4" sqref="J4"/>
    </sheetView>
  </sheetViews>
  <sheetFormatPr defaultRowHeight="15"/>
  <cols>
    <col min="1" max="1" width="23" bestFit="1" customWidth="1"/>
    <col min="2" max="2" width="25.7109375" bestFit="1" customWidth="1"/>
    <col min="3" max="3" width="11.85546875" bestFit="1" customWidth="1"/>
    <col min="4" max="4" width="11" bestFit="1" customWidth="1"/>
    <col min="5" max="5" width="10.85546875" bestFit="1" customWidth="1"/>
    <col min="6" max="6" width="14.7109375" bestFit="1" customWidth="1"/>
    <col min="7" max="7" width="25" bestFit="1" customWidth="1"/>
    <col min="8" max="8" width="22.140625" bestFit="1" customWidth="1"/>
    <col min="9" max="9" width="19.85546875" bestFit="1" customWidth="1"/>
    <col min="10" max="10" width="18.5703125" bestFit="1" customWidth="1"/>
    <col min="11" max="11" width="73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f>FALSE()</f>
        <v>0</v>
      </c>
      <c r="H2" t="s">
        <v>17</v>
      </c>
      <c r="I2" s="2" t="s">
        <v>18</v>
      </c>
      <c r="J2">
        <f>COUNTA(SMS_atendimentos_ubs!A:A)-1</f>
        <v>24</v>
      </c>
      <c r="K2" s="1"/>
    </row>
    <row r="3" spans="1:11">
      <c r="A3" t="s">
        <v>19</v>
      </c>
      <c r="B3" t="s">
        <v>20</v>
      </c>
      <c r="C3" t="s">
        <v>13</v>
      </c>
      <c r="D3" t="s">
        <v>14</v>
      </c>
      <c r="E3" t="s">
        <v>15</v>
      </c>
      <c r="F3" t="s">
        <v>21</v>
      </c>
      <c r="G3" t="b">
        <f>FALSE()</f>
        <v>0</v>
      </c>
      <c r="H3" t="s">
        <v>17</v>
      </c>
      <c r="I3" s="2" t="s">
        <v>18</v>
      </c>
      <c r="J3">
        <f>COUNTA(SMS_vacinacao!A:A)-1</f>
        <v>24</v>
      </c>
      <c r="K3" s="1"/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  <c r="G4" t="b">
        <f>FALSE()</f>
        <v>0</v>
      </c>
      <c r="H4" t="s">
        <v>27</v>
      </c>
      <c r="I4" s="2">
        <v>2026</v>
      </c>
      <c r="J4" s="10">
        <f>COUNTA(SME_matriculas_escolas!A:A)-1</f>
        <v>24</v>
      </c>
      <c r="K4" s="1" t="s">
        <v>28</v>
      </c>
    </row>
    <row r="5" spans="1:11">
      <c r="A5" t="s">
        <v>29</v>
      </c>
      <c r="B5" t="s">
        <v>30</v>
      </c>
      <c r="C5" t="s">
        <v>31</v>
      </c>
      <c r="D5" t="s">
        <v>25</v>
      </c>
      <c r="E5" t="s">
        <v>15</v>
      </c>
      <c r="F5" t="s">
        <v>32</v>
      </c>
      <c r="G5" t="b">
        <f>TRUE()</f>
        <v>1</v>
      </c>
      <c r="H5" t="s">
        <v>27</v>
      </c>
      <c r="I5" s="3">
        <v>46082</v>
      </c>
      <c r="J5">
        <f>COUNTA(SAS_familias_cras!A:A)-1</f>
        <v>24</v>
      </c>
      <c r="K5" s="1" t="s">
        <v>33</v>
      </c>
    </row>
    <row r="6" spans="1:11">
      <c r="A6" t="s">
        <v>34</v>
      </c>
      <c r="B6" t="s">
        <v>35</v>
      </c>
      <c r="C6" t="s">
        <v>36</v>
      </c>
      <c r="D6" t="s">
        <v>14</v>
      </c>
      <c r="E6" t="s">
        <v>15</v>
      </c>
      <c r="F6" t="s">
        <v>16</v>
      </c>
      <c r="G6" t="b">
        <f>FALSE()</f>
        <v>0</v>
      </c>
      <c r="H6" t="s">
        <v>37</v>
      </c>
      <c r="I6" s="2" t="s">
        <v>18</v>
      </c>
      <c r="J6">
        <f>COUNTA(SAS_chamados_ti!A:A)-1</f>
        <v>24</v>
      </c>
      <c r="K6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3BA1-8360-4EB5-B82B-428740EA0707}">
  <dimension ref="A1:F29"/>
  <sheetViews>
    <sheetView workbookViewId="0">
      <selection activeCell="B2" sqref="A2:B2"/>
    </sheetView>
  </sheetViews>
  <sheetFormatPr defaultRowHeight="15"/>
  <cols>
    <col min="1" max="1" width="22.42578125" bestFit="1" customWidth="1"/>
    <col min="2" max="2" width="27.5703125" bestFit="1" customWidth="1"/>
    <col min="3" max="3" width="8.42578125" bestFit="1" customWidth="1"/>
    <col min="4" max="4" width="63.85546875" bestFit="1" customWidth="1"/>
    <col min="5" max="5" width="13.5703125" bestFit="1" customWidth="1"/>
    <col min="6" max="6" width="22" style="1" bestFit="1" customWidth="1"/>
  </cols>
  <sheetData>
    <row r="1" spans="1:6" ht="24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6" t="s">
        <v>44</v>
      </c>
    </row>
    <row r="2" spans="1:6">
      <c r="A2" s="5" t="s">
        <v>11</v>
      </c>
      <c r="B2" s="5" t="s">
        <v>45</v>
      </c>
      <c r="C2" s="5" t="s">
        <v>46</v>
      </c>
      <c r="D2" s="5" t="s">
        <v>47</v>
      </c>
      <c r="E2" s="5" t="b">
        <v>1</v>
      </c>
      <c r="F2" s="7">
        <v>46204</v>
      </c>
    </row>
    <row r="3" spans="1:6">
      <c r="A3" s="5" t="s">
        <v>11</v>
      </c>
      <c r="B3" s="5" t="s">
        <v>48</v>
      </c>
      <c r="C3" s="5" t="s">
        <v>49</v>
      </c>
      <c r="D3" s="5" t="s">
        <v>50</v>
      </c>
      <c r="E3" s="5" t="b">
        <v>1</v>
      </c>
      <c r="F3" s="8" t="s">
        <v>51</v>
      </c>
    </row>
    <row r="4" spans="1:6">
      <c r="A4" s="5" t="s">
        <v>11</v>
      </c>
      <c r="B4" s="5" t="s">
        <v>27</v>
      </c>
      <c r="C4" s="5" t="s">
        <v>49</v>
      </c>
      <c r="D4" s="5" t="s">
        <v>52</v>
      </c>
      <c r="E4" s="5" t="b">
        <v>1</v>
      </c>
      <c r="F4" s="8" t="s">
        <v>53</v>
      </c>
    </row>
    <row r="5" spans="1:6">
      <c r="A5" s="5" t="s">
        <v>11</v>
      </c>
      <c r="B5" s="5" t="s">
        <v>54</v>
      </c>
      <c r="C5" s="5" t="s">
        <v>49</v>
      </c>
      <c r="D5" s="5" t="s">
        <v>55</v>
      </c>
      <c r="E5" s="5" t="b">
        <v>1</v>
      </c>
      <c r="F5" s="8" t="s">
        <v>56</v>
      </c>
    </row>
    <row r="6" spans="1:6">
      <c r="A6" s="5" t="s">
        <v>11</v>
      </c>
      <c r="B6" s="5" t="s">
        <v>57</v>
      </c>
      <c r="C6" s="5" t="s">
        <v>58</v>
      </c>
      <c r="D6" s="5" t="s">
        <v>59</v>
      </c>
      <c r="E6" s="5" t="b">
        <v>1</v>
      </c>
      <c r="F6" s="8">
        <v>312</v>
      </c>
    </row>
    <row r="7" spans="1:6">
      <c r="A7" s="5" t="s">
        <v>60</v>
      </c>
      <c r="B7" s="5" t="s">
        <v>45</v>
      </c>
      <c r="C7" s="5" t="s">
        <v>46</v>
      </c>
      <c r="D7" s="5" t="s">
        <v>47</v>
      </c>
      <c r="E7" s="5" t="b">
        <v>1</v>
      </c>
      <c r="F7" s="7">
        <v>46204</v>
      </c>
    </row>
    <row r="8" spans="1:6">
      <c r="A8" s="5" t="s">
        <v>60</v>
      </c>
      <c r="B8" s="5" t="s">
        <v>48</v>
      </c>
      <c r="C8" s="5" t="s">
        <v>49</v>
      </c>
      <c r="D8" s="5" t="s">
        <v>50</v>
      </c>
      <c r="E8" s="5" t="b">
        <v>1</v>
      </c>
      <c r="F8" s="8" t="s">
        <v>61</v>
      </c>
    </row>
    <row r="9" spans="1:6">
      <c r="A9" s="5" t="s">
        <v>60</v>
      </c>
      <c r="B9" s="5" t="s">
        <v>27</v>
      </c>
      <c r="C9" s="5" t="s">
        <v>49</v>
      </c>
      <c r="D9" s="5" t="s">
        <v>62</v>
      </c>
      <c r="E9" s="5" t="b">
        <v>1</v>
      </c>
      <c r="F9" s="8" t="s">
        <v>63</v>
      </c>
    </row>
    <row r="10" spans="1:6">
      <c r="A10" s="5" t="s">
        <v>60</v>
      </c>
      <c r="B10" s="5" t="s">
        <v>64</v>
      </c>
      <c r="C10" s="5" t="s">
        <v>49</v>
      </c>
      <c r="D10" s="5" t="s">
        <v>65</v>
      </c>
      <c r="E10" s="5" t="b">
        <v>1</v>
      </c>
      <c r="F10" s="8" t="s">
        <v>66</v>
      </c>
    </row>
    <row r="11" spans="1:6">
      <c r="A11" s="5" t="s">
        <v>60</v>
      </c>
      <c r="B11" s="5" t="s">
        <v>67</v>
      </c>
      <c r="C11" s="5" t="s">
        <v>58</v>
      </c>
      <c r="D11" s="5" t="s">
        <v>68</v>
      </c>
      <c r="E11" s="5" t="b">
        <v>1</v>
      </c>
      <c r="F11" s="8">
        <v>118</v>
      </c>
    </row>
    <row r="12" spans="1:6">
      <c r="A12" s="5" t="s">
        <v>60</v>
      </c>
      <c r="B12" s="5" t="s">
        <v>69</v>
      </c>
      <c r="C12" s="5" t="s">
        <v>58</v>
      </c>
      <c r="D12" s="5" t="s">
        <v>70</v>
      </c>
      <c r="E12" s="5" t="b">
        <v>1</v>
      </c>
      <c r="F12" s="8">
        <v>195</v>
      </c>
    </row>
    <row r="13" spans="1:6">
      <c r="A13" s="5" t="s">
        <v>22</v>
      </c>
      <c r="B13" s="5" t="s">
        <v>71</v>
      </c>
      <c r="C13" s="5" t="s">
        <v>58</v>
      </c>
      <c r="D13" s="5" t="s">
        <v>72</v>
      </c>
      <c r="E13" s="5" t="b">
        <v>1</v>
      </c>
      <c r="F13" s="8">
        <v>2026</v>
      </c>
    </row>
    <row r="14" spans="1:6">
      <c r="A14" s="5" t="s">
        <v>22</v>
      </c>
      <c r="B14" s="5" t="s">
        <v>73</v>
      </c>
      <c r="C14" s="5" t="s">
        <v>49</v>
      </c>
      <c r="D14" s="5" t="s">
        <v>74</v>
      </c>
      <c r="E14" s="5" t="b">
        <v>1</v>
      </c>
      <c r="F14" s="8" t="s">
        <v>75</v>
      </c>
    </row>
    <row r="15" spans="1:6">
      <c r="A15" s="5" t="s">
        <v>22</v>
      </c>
      <c r="B15" s="5" t="s">
        <v>27</v>
      </c>
      <c r="C15" s="5" t="s">
        <v>49</v>
      </c>
      <c r="D15" s="5" t="s">
        <v>76</v>
      </c>
      <c r="E15" s="5" t="b">
        <v>1</v>
      </c>
      <c r="F15" s="8" t="s">
        <v>77</v>
      </c>
    </row>
    <row r="16" spans="1:6">
      <c r="A16" s="5" t="s">
        <v>22</v>
      </c>
      <c r="B16" s="5" t="s">
        <v>78</v>
      </c>
      <c r="C16" s="5" t="s">
        <v>49</v>
      </c>
      <c r="D16" s="5" t="s">
        <v>79</v>
      </c>
      <c r="E16" s="5" t="b">
        <v>1</v>
      </c>
      <c r="F16" s="8" t="s">
        <v>80</v>
      </c>
    </row>
    <row r="17" spans="1:6">
      <c r="A17" s="5" t="s">
        <v>22</v>
      </c>
      <c r="B17" s="5" t="s">
        <v>81</v>
      </c>
      <c r="C17" s="5" t="s">
        <v>58</v>
      </c>
      <c r="D17" s="5" t="s">
        <v>82</v>
      </c>
      <c r="E17" s="5" t="b">
        <v>1</v>
      </c>
      <c r="F17" s="8">
        <v>176</v>
      </c>
    </row>
    <row r="18" spans="1:6">
      <c r="A18" s="5" t="s">
        <v>22</v>
      </c>
      <c r="B18" s="5" t="s">
        <v>83</v>
      </c>
      <c r="C18" s="5" t="s">
        <v>58</v>
      </c>
      <c r="D18" s="5" t="s">
        <v>84</v>
      </c>
      <c r="E18" s="5" t="b">
        <v>0</v>
      </c>
      <c r="F18" s="8">
        <v>7</v>
      </c>
    </row>
    <row r="19" spans="1:6">
      <c r="A19" s="5" t="s">
        <v>29</v>
      </c>
      <c r="B19" s="5" t="s">
        <v>45</v>
      </c>
      <c r="C19" s="5" t="s">
        <v>46</v>
      </c>
      <c r="D19" s="5" t="s">
        <v>47</v>
      </c>
      <c r="E19" s="5" t="b">
        <v>1</v>
      </c>
      <c r="F19" s="7">
        <v>46082</v>
      </c>
    </row>
    <row r="20" spans="1:6">
      <c r="A20" s="5" t="s">
        <v>29</v>
      </c>
      <c r="B20" s="5" t="s">
        <v>85</v>
      </c>
      <c r="C20" s="5" t="s">
        <v>49</v>
      </c>
      <c r="D20" s="5" t="s">
        <v>86</v>
      </c>
      <c r="E20" s="5" t="b">
        <v>1</v>
      </c>
      <c r="F20" s="8" t="s">
        <v>87</v>
      </c>
    </row>
    <row r="21" spans="1:6">
      <c r="A21" s="5" t="s">
        <v>29</v>
      </c>
      <c r="B21" s="5" t="s">
        <v>27</v>
      </c>
      <c r="C21" s="5" t="s">
        <v>49</v>
      </c>
      <c r="D21" s="5" t="s">
        <v>88</v>
      </c>
      <c r="E21" s="5" t="b">
        <v>1</v>
      </c>
      <c r="F21" s="8" t="s">
        <v>89</v>
      </c>
    </row>
    <row r="22" spans="1:6">
      <c r="A22" s="5" t="s">
        <v>29</v>
      </c>
      <c r="B22" s="5" t="s">
        <v>90</v>
      </c>
      <c r="C22" s="5" t="s">
        <v>58</v>
      </c>
      <c r="D22" s="5" t="s">
        <v>91</v>
      </c>
      <c r="E22" s="5" t="b">
        <v>1</v>
      </c>
      <c r="F22" s="8">
        <v>325</v>
      </c>
    </row>
    <row r="23" spans="1:6">
      <c r="A23" s="5" t="s">
        <v>29</v>
      </c>
      <c r="B23" s="5" t="s">
        <v>92</v>
      </c>
      <c r="C23" s="5" t="s">
        <v>58</v>
      </c>
      <c r="D23" s="5" t="s">
        <v>93</v>
      </c>
      <c r="E23" s="5" t="b">
        <v>0</v>
      </c>
      <c r="F23" s="8">
        <v>70</v>
      </c>
    </row>
    <row r="24" spans="1:6">
      <c r="A24" s="5" t="s">
        <v>29</v>
      </c>
      <c r="B24" s="5" t="s">
        <v>94</v>
      </c>
      <c r="C24" s="5" t="s">
        <v>58</v>
      </c>
      <c r="D24" s="5" t="s">
        <v>59</v>
      </c>
      <c r="E24" s="5" t="b">
        <v>1</v>
      </c>
      <c r="F24" s="8">
        <v>112</v>
      </c>
    </row>
    <row r="25" spans="1:6">
      <c r="A25" s="5" t="s">
        <v>95</v>
      </c>
      <c r="B25" s="5" t="s">
        <v>45</v>
      </c>
      <c r="C25" s="5" t="s">
        <v>46</v>
      </c>
      <c r="D25" s="5" t="s">
        <v>47</v>
      </c>
      <c r="E25" s="5" t="b">
        <v>1</v>
      </c>
      <c r="F25" s="7">
        <v>46204</v>
      </c>
    </row>
    <row r="26" spans="1:6">
      <c r="A26" s="5" t="s">
        <v>95</v>
      </c>
      <c r="B26" s="5" t="s">
        <v>37</v>
      </c>
      <c r="C26" s="5" t="s">
        <v>49</v>
      </c>
      <c r="D26" s="5" t="s">
        <v>96</v>
      </c>
      <c r="E26" s="5" t="b">
        <v>1</v>
      </c>
      <c r="F26" s="8" t="s">
        <v>13</v>
      </c>
    </row>
    <row r="27" spans="1:6">
      <c r="A27" s="5" t="s">
        <v>95</v>
      </c>
      <c r="B27" s="5" t="s">
        <v>97</v>
      </c>
      <c r="C27" s="5" t="s">
        <v>49</v>
      </c>
      <c r="D27" s="5" t="s">
        <v>98</v>
      </c>
      <c r="E27" s="5" t="b">
        <v>1</v>
      </c>
      <c r="F27" s="8" t="s">
        <v>99</v>
      </c>
    </row>
    <row r="28" spans="1:6">
      <c r="A28" s="5" t="s">
        <v>95</v>
      </c>
      <c r="B28" s="5" t="s">
        <v>100</v>
      </c>
      <c r="C28" s="5" t="s">
        <v>58</v>
      </c>
      <c r="D28" s="5" t="s">
        <v>101</v>
      </c>
      <c r="E28" s="5" t="b">
        <v>1</v>
      </c>
      <c r="F28" s="8">
        <v>14</v>
      </c>
    </row>
    <row r="29" spans="1:6">
      <c r="A29" s="5" t="s">
        <v>95</v>
      </c>
      <c r="B29" s="5" t="s">
        <v>102</v>
      </c>
      <c r="C29" s="5" t="s">
        <v>103</v>
      </c>
      <c r="D29" s="5" t="s">
        <v>104</v>
      </c>
      <c r="E29" s="5" t="b">
        <v>0</v>
      </c>
      <c r="F29" s="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C165-929D-49C3-83F1-BB949B8C20E0}">
  <dimension ref="A1:E25"/>
  <sheetViews>
    <sheetView workbookViewId="0">
      <selection activeCell="C19" sqref="C19"/>
    </sheetView>
  </sheetViews>
  <sheetFormatPr defaultRowHeight="15"/>
  <cols>
    <col min="1" max="1" width="17" customWidth="1"/>
    <col min="2" max="2" width="22.7109375" customWidth="1"/>
    <col min="3" max="3" width="11.5703125" customWidth="1"/>
    <col min="4" max="4" width="19.7109375" customWidth="1"/>
    <col min="5" max="5" width="18.140625" customWidth="1"/>
  </cols>
  <sheetData>
    <row r="1" spans="1:5" ht="15" customHeight="1">
      <c r="A1" s="6" t="s">
        <v>45</v>
      </c>
      <c r="B1" s="6" t="s">
        <v>48</v>
      </c>
      <c r="C1" s="6" t="s">
        <v>27</v>
      </c>
      <c r="D1" s="6" t="s">
        <v>54</v>
      </c>
      <c r="E1" s="6" t="s">
        <v>57</v>
      </c>
    </row>
    <row r="2" spans="1:5">
      <c r="A2" s="7">
        <v>46204</v>
      </c>
      <c r="B2" s="8" t="s">
        <v>51</v>
      </c>
      <c r="C2" s="8" t="s">
        <v>53</v>
      </c>
      <c r="D2" s="8" t="s">
        <v>106</v>
      </c>
      <c r="E2" s="8">
        <v>308</v>
      </c>
    </row>
    <row r="3" spans="1:5">
      <c r="A3" s="7">
        <v>46204</v>
      </c>
      <c r="B3" s="8" t="s">
        <v>51</v>
      </c>
      <c r="C3" s="8" t="s">
        <v>53</v>
      </c>
      <c r="D3" s="8" t="s">
        <v>56</v>
      </c>
      <c r="E3" s="8">
        <v>199</v>
      </c>
    </row>
    <row r="4" spans="1:5">
      <c r="A4" s="7">
        <v>46204</v>
      </c>
      <c r="B4" s="8" t="s">
        <v>51</v>
      </c>
      <c r="C4" s="8" t="s">
        <v>53</v>
      </c>
      <c r="D4" s="8" t="s">
        <v>107</v>
      </c>
      <c r="E4" s="8">
        <v>115</v>
      </c>
    </row>
    <row r="5" spans="1:5">
      <c r="A5" s="7">
        <v>46204</v>
      </c>
      <c r="B5" s="8" t="s">
        <v>61</v>
      </c>
      <c r="C5" s="8" t="s">
        <v>63</v>
      </c>
      <c r="D5" s="8" t="s">
        <v>106</v>
      </c>
      <c r="E5" s="8">
        <v>368</v>
      </c>
    </row>
    <row r="6" spans="1:5">
      <c r="A6" s="7">
        <v>46204</v>
      </c>
      <c r="B6" s="8" t="s">
        <v>61</v>
      </c>
      <c r="C6" s="8" t="s">
        <v>108</v>
      </c>
      <c r="D6" s="8" t="s">
        <v>56</v>
      </c>
      <c r="E6" s="8">
        <v>300</v>
      </c>
    </row>
    <row r="7" spans="1:5">
      <c r="A7" s="7">
        <v>46204</v>
      </c>
      <c r="B7" s="8" t="s">
        <v>61</v>
      </c>
      <c r="C7" s="8" t="s">
        <v>63</v>
      </c>
      <c r="D7" s="8" t="s">
        <v>107</v>
      </c>
      <c r="E7" s="8">
        <v>162</v>
      </c>
    </row>
    <row r="8" spans="1:5">
      <c r="A8" s="7">
        <v>46204</v>
      </c>
      <c r="B8" s="8" t="s">
        <v>109</v>
      </c>
      <c r="C8" s="8" t="s">
        <v>77</v>
      </c>
      <c r="D8" s="8" t="s">
        <v>106</v>
      </c>
      <c r="E8" s="8">
        <v>356</v>
      </c>
    </row>
    <row r="9" spans="1:5">
      <c r="A9" s="7">
        <v>46204</v>
      </c>
      <c r="B9" s="8" t="s">
        <v>109</v>
      </c>
      <c r="C9" s="8" t="s">
        <v>110</v>
      </c>
      <c r="D9" s="8" t="s">
        <v>56</v>
      </c>
      <c r="E9" s="8">
        <v>222</v>
      </c>
    </row>
    <row r="10" spans="1:5">
      <c r="A10" s="7">
        <v>46204</v>
      </c>
      <c r="B10" s="8" t="s">
        <v>109</v>
      </c>
      <c r="C10" s="8" t="s">
        <v>77</v>
      </c>
      <c r="D10" s="8" t="s">
        <v>107</v>
      </c>
      <c r="E10" s="8">
        <v>130</v>
      </c>
    </row>
    <row r="11" spans="1:5">
      <c r="A11" s="7">
        <v>46204</v>
      </c>
      <c r="B11" s="8" t="s">
        <v>111</v>
      </c>
      <c r="C11" s="8" t="s">
        <v>89</v>
      </c>
      <c r="D11" s="8" t="s">
        <v>106</v>
      </c>
      <c r="E11" s="8"/>
    </row>
    <row r="12" spans="1:5">
      <c r="A12" s="7">
        <v>46204</v>
      </c>
      <c r="B12" s="8" t="s">
        <v>111</v>
      </c>
      <c r="C12" s="8" t="s">
        <v>89</v>
      </c>
      <c r="D12" s="8" t="s">
        <v>56</v>
      </c>
      <c r="E12" s="8">
        <v>166</v>
      </c>
    </row>
    <row r="13" spans="1:5">
      <c r="A13" s="7">
        <v>46204</v>
      </c>
      <c r="B13" s="8" t="s">
        <v>111</v>
      </c>
      <c r="C13" s="8" t="s">
        <v>89</v>
      </c>
      <c r="D13" s="8" t="s">
        <v>107</v>
      </c>
      <c r="E13" s="8">
        <v>96</v>
      </c>
    </row>
    <row r="14" spans="1:5">
      <c r="A14" s="7">
        <v>46235</v>
      </c>
      <c r="B14" s="8" t="s">
        <v>51</v>
      </c>
      <c r="C14" s="8" t="s">
        <v>53</v>
      </c>
      <c r="D14" s="8" t="s">
        <v>106</v>
      </c>
      <c r="E14" s="8">
        <v>272</v>
      </c>
    </row>
    <row r="15" spans="1:5">
      <c r="A15" s="7">
        <v>46235</v>
      </c>
      <c r="B15" s="8" t="s">
        <v>51</v>
      </c>
      <c r="C15" s="8" t="s">
        <v>112</v>
      </c>
      <c r="D15" s="8" t="s">
        <v>56</v>
      </c>
      <c r="E15" s="8">
        <v>207</v>
      </c>
    </row>
    <row r="16" spans="1:5">
      <c r="A16" s="7">
        <v>46235</v>
      </c>
      <c r="B16" s="8" t="s">
        <v>51</v>
      </c>
      <c r="C16" s="8" t="s">
        <v>53</v>
      </c>
      <c r="D16" s="8" t="s">
        <v>107</v>
      </c>
      <c r="E16" s="8">
        <v>124</v>
      </c>
    </row>
    <row r="17" spans="1:5">
      <c r="A17" s="7">
        <v>46235</v>
      </c>
      <c r="B17" s="8" t="s">
        <v>61</v>
      </c>
      <c r="C17" s="8" t="s">
        <v>63</v>
      </c>
      <c r="D17" s="8" t="s">
        <v>106</v>
      </c>
      <c r="E17" s="8">
        <v>394</v>
      </c>
    </row>
    <row r="18" spans="1:5">
      <c r="A18" s="7">
        <v>46235</v>
      </c>
      <c r="B18" s="8" t="s">
        <v>61</v>
      </c>
      <c r="C18" s="8" t="s">
        <v>63</v>
      </c>
      <c r="D18" s="8" t="s">
        <v>56</v>
      </c>
      <c r="E18" s="8">
        <v>270</v>
      </c>
    </row>
    <row r="19" spans="1:5">
      <c r="A19" s="7">
        <v>46235</v>
      </c>
      <c r="B19" s="8" t="s">
        <v>61</v>
      </c>
      <c r="C19" s="8" t="s">
        <v>63</v>
      </c>
      <c r="D19" s="8" t="s">
        <v>107</v>
      </c>
      <c r="E19" s="8">
        <v>159</v>
      </c>
    </row>
    <row r="20" spans="1:5">
      <c r="A20" s="7">
        <v>46235</v>
      </c>
      <c r="B20" s="8" t="s">
        <v>109</v>
      </c>
      <c r="C20" s="8" t="s">
        <v>77</v>
      </c>
      <c r="D20" s="8" t="s">
        <v>106</v>
      </c>
      <c r="E20" s="8">
        <v>350</v>
      </c>
    </row>
    <row r="21" spans="1:5">
      <c r="A21" s="7">
        <v>46235</v>
      </c>
      <c r="B21" s="8" t="s">
        <v>109</v>
      </c>
      <c r="C21" s="8" t="s">
        <v>77</v>
      </c>
      <c r="D21" s="8" t="s">
        <v>56</v>
      </c>
      <c r="E21" s="8">
        <v>218</v>
      </c>
    </row>
    <row r="22" spans="1:5">
      <c r="A22" s="9">
        <v>46235</v>
      </c>
      <c r="B22" s="8" t="s">
        <v>109</v>
      </c>
      <c r="C22" s="8" t="s">
        <v>77</v>
      </c>
      <c r="D22" s="8" t="s">
        <v>107</v>
      </c>
      <c r="E22" s="8">
        <v>140</v>
      </c>
    </row>
    <row r="23" spans="1:5">
      <c r="A23" s="7">
        <v>46235</v>
      </c>
      <c r="B23" s="8" t="s">
        <v>111</v>
      </c>
      <c r="C23" s="8" t="s">
        <v>89</v>
      </c>
      <c r="D23" s="8" t="s">
        <v>106</v>
      </c>
      <c r="E23" s="8">
        <v>250</v>
      </c>
    </row>
    <row r="24" spans="1:5">
      <c r="A24" s="7">
        <v>46235</v>
      </c>
      <c r="B24" s="8" t="s">
        <v>111</v>
      </c>
      <c r="C24" s="8" t="s">
        <v>89</v>
      </c>
      <c r="D24" s="8" t="s">
        <v>56</v>
      </c>
      <c r="E24" s="8">
        <v>170</v>
      </c>
    </row>
    <row r="25" spans="1:5">
      <c r="A25" s="7">
        <v>46235</v>
      </c>
      <c r="B25" s="8" t="s">
        <v>111</v>
      </c>
      <c r="C25" s="8" t="s">
        <v>89</v>
      </c>
      <c r="D25" s="8" t="s">
        <v>107</v>
      </c>
      <c r="E25" s="8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D61F-587D-47B0-B18B-0D31BE86C979}">
  <dimension ref="A1:F25"/>
  <sheetViews>
    <sheetView workbookViewId="0">
      <selection activeCell="E36" sqref="E35:E36"/>
    </sheetView>
  </sheetViews>
  <sheetFormatPr defaultRowHeight="15"/>
  <cols>
    <col min="1" max="1" width="14.85546875" customWidth="1"/>
    <col min="2" max="2" width="20.28515625" bestFit="1" customWidth="1"/>
    <col min="3" max="3" width="12.140625" customWidth="1"/>
    <col min="4" max="4" width="11.140625" bestFit="1" customWidth="1"/>
    <col min="5" max="5" width="17.28515625" customWidth="1"/>
    <col min="6" max="6" width="13.42578125" customWidth="1"/>
  </cols>
  <sheetData>
    <row r="1" spans="1:6">
      <c r="A1" s="6" t="s">
        <v>45</v>
      </c>
      <c r="B1" s="6" t="s">
        <v>48</v>
      </c>
      <c r="C1" s="6" t="s">
        <v>27</v>
      </c>
      <c r="D1" s="6" t="s">
        <v>64</v>
      </c>
      <c r="E1" s="6" t="s">
        <v>67</v>
      </c>
      <c r="F1" s="6" t="s">
        <v>69</v>
      </c>
    </row>
    <row r="2" spans="1:6">
      <c r="A2" s="7">
        <v>46204</v>
      </c>
      <c r="B2" s="8" t="s">
        <v>51</v>
      </c>
      <c r="C2" s="8" t="s">
        <v>53</v>
      </c>
      <c r="D2" s="8" t="s">
        <v>66</v>
      </c>
      <c r="E2" s="8">
        <v>154</v>
      </c>
      <c r="F2" s="8">
        <v>150</v>
      </c>
    </row>
    <row r="3" spans="1:6">
      <c r="A3" s="7">
        <v>46204</v>
      </c>
      <c r="B3" s="8" t="s">
        <v>51</v>
      </c>
      <c r="C3" s="8" t="s">
        <v>53</v>
      </c>
      <c r="D3" s="8" t="s">
        <v>113</v>
      </c>
      <c r="E3" s="8">
        <v>45</v>
      </c>
      <c r="F3" s="8">
        <v>60</v>
      </c>
    </row>
    <row r="4" spans="1:6">
      <c r="A4" s="7">
        <v>46204</v>
      </c>
      <c r="B4" s="8" t="s">
        <v>51</v>
      </c>
      <c r="C4" s="8" t="s">
        <v>53</v>
      </c>
      <c r="D4" s="8" t="s">
        <v>114</v>
      </c>
      <c r="E4" s="8">
        <v>32</v>
      </c>
      <c r="F4" s="8">
        <v>50</v>
      </c>
    </row>
    <row r="5" spans="1:6">
      <c r="A5" s="7">
        <v>46204</v>
      </c>
      <c r="B5" s="8" t="s">
        <v>61</v>
      </c>
      <c r="C5" s="8" t="s">
        <v>63</v>
      </c>
      <c r="D5" s="8" t="s">
        <v>66</v>
      </c>
      <c r="E5" s="8">
        <v>125</v>
      </c>
      <c r="F5" s="8">
        <v>195</v>
      </c>
    </row>
    <row r="6" spans="1:6">
      <c r="A6" s="7">
        <v>46204</v>
      </c>
      <c r="B6" s="8" t="s">
        <v>61</v>
      </c>
      <c r="C6" s="8" t="s">
        <v>63</v>
      </c>
      <c r="D6" s="8" t="s">
        <v>113</v>
      </c>
      <c r="E6" s="8">
        <v>78</v>
      </c>
      <c r="F6" s="8">
        <v>80</v>
      </c>
    </row>
    <row r="7" spans="1:6">
      <c r="A7" s="7">
        <v>46204</v>
      </c>
      <c r="B7" s="8" t="s">
        <v>61</v>
      </c>
      <c r="C7" s="8" t="s">
        <v>63</v>
      </c>
      <c r="D7" s="8" t="s">
        <v>114</v>
      </c>
      <c r="E7" s="8"/>
      <c r="F7" s="8">
        <v>65</v>
      </c>
    </row>
    <row r="8" spans="1:6">
      <c r="A8" s="7">
        <v>46204</v>
      </c>
      <c r="B8" s="8" t="s">
        <v>109</v>
      </c>
      <c r="C8" s="8" t="s">
        <v>77</v>
      </c>
      <c r="D8" s="8" t="s">
        <v>66</v>
      </c>
      <c r="E8" s="8">
        <v>158</v>
      </c>
      <c r="F8" s="8">
        <v>165</v>
      </c>
    </row>
    <row r="9" spans="1:6">
      <c r="A9" s="7">
        <v>46204</v>
      </c>
      <c r="B9" s="8" t="s">
        <v>109</v>
      </c>
      <c r="C9" s="8" t="s">
        <v>77</v>
      </c>
      <c r="D9" s="8" t="s">
        <v>113</v>
      </c>
      <c r="E9" s="8">
        <v>60</v>
      </c>
      <c r="F9" s="8">
        <v>65</v>
      </c>
    </row>
    <row r="10" spans="1:6">
      <c r="A10" s="7">
        <v>46204</v>
      </c>
      <c r="B10" s="8" t="s">
        <v>109</v>
      </c>
      <c r="C10" s="8" t="s">
        <v>77</v>
      </c>
      <c r="D10" s="8" t="s">
        <v>114</v>
      </c>
      <c r="E10" s="8">
        <v>46</v>
      </c>
      <c r="F10" s="8">
        <v>55</v>
      </c>
    </row>
    <row r="11" spans="1:6">
      <c r="A11" s="7">
        <v>46204</v>
      </c>
      <c r="B11" s="8" t="s">
        <v>111</v>
      </c>
      <c r="C11" s="8" t="s">
        <v>89</v>
      </c>
      <c r="D11" s="8" t="s">
        <v>66</v>
      </c>
      <c r="E11" s="8">
        <v>124</v>
      </c>
      <c r="F11" s="8">
        <v>120</v>
      </c>
    </row>
    <row r="12" spans="1:6">
      <c r="A12" s="7">
        <v>46204</v>
      </c>
      <c r="B12" s="8" t="s">
        <v>115</v>
      </c>
      <c r="C12" s="8" t="s">
        <v>89</v>
      </c>
      <c r="D12" s="8" t="s">
        <v>113</v>
      </c>
      <c r="E12" s="8">
        <v>38</v>
      </c>
      <c r="F12" s="8">
        <v>50</v>
      </c>
    </row>
    <row r="13" spans="1:6">
      <c r="A13" s="7">
        <v>46204</v>
      </c>
      <c r="B13" s="8" t="s">
        <v>111</v>
      </c>
      <c r="C13" s="8" t="s">
        <v>89</v>
      </c>
      <c r="D13" s="8" t="s">
        <v>114</v>
      </c>
      <c r="E13" s="8">
        <v>33</v>
      </c>
      <c r="F13" s="8">
        <v>40</v>
      </c>
    </row>
    <row r="14" spans="1:6">
      <c r="A14" s="7">
        <v>46235</v>
      </c>
      <c r="B14" s="8" t="s">
        <v>51</v>
      </c>
      <c r="C14" s="8" t="s">
        <v>53</v>
      </c>
      <c r="D14" s="8" t="s">
        <v>66</v>
      </c>
      <c r="E14" s="8">
        <v>145</v>
      </c>
      <c r="F14" s="8">
        <v>150</v>
      </c>
    </row>
    <row r="15" spans="1:6">
      <c r="A15" s="7">
        <v>46235</v>
      </c>
      <c r="B15" s="8" t="s">
        <v>51</v>
      </c>
      <c r="C15" s="8" t="s">
        <v>53</v>
      </c>
      <c r="D15" s="8" t="s">
        <v>113</v>
      </c>
      <c r="E15" s="8">
        <v>52</v>
      </c>
      <c r="F15" s="8">
        <v>60</v>
      </c>
    </row>
    <row r="16" spans="1:6">
      <c r="A16" s="7">
        <v>46235</v>
      </c>
      <c r="B16" s="8" t="s">
        <v>51</v>
      </c>
      <c r="C16" s="8" t="s">
        <v>53</v>
      </c>
      <c r="D16" s="8" t="s">
        <v>114</v>
      </c>
      <c r="E16" s="8">
        <v>49</v>
      </c>
      <c r="F16" s="8">
        <v>50</v>
      </c>
    </row>
    <row r="17" spans="1:6">
      <c r="A17" s="7">
        <v>46235</v>
      </c>
      <c r="B17" s="8" t="s">
        <v>61</v>
      </c>
      <c r="C17" s="8" t="s">
        <v>63</v>
      </c>
      <c r="D17" s="8" t="s">
        <v>66</v>
      </c>
      <c r="E17" s="8">
        <v>167</v>
      </c>
      <c r="F17" s="8">
        <v>195</v>
      </c>
    </row>
    <row r="18" spans="1:6">
      <c r="A18" s="7">
        <v>46235</v>
      </c>
      <c r="B18" s="8" t="s">
        <v>61</v>
      </c>
      <c r="C18" s="8" t="s">
        <v>116</v>
      </c>
      <c r="D18" s="8" t="s">
        <v>113</v>
      </c>
      <c r="E18" s="8">
        <v>73</v>
      </c>
      <c r="F18" s="8">
        <v>80</v>
      </c>
    </row>
    <row r="19" spans="1:6">
      <c r="A19" s="7">
        <v>46235</v>
      </c>
      <c r="B19" s="8" t="s">
        <v>61</v>
      </c>
      <c r="C19" s="8" t="s">
        <v>63</v>
      </c>
      <c r="D19" s="8" t="s">
        <v>114</v>
      </c>
      <c r="E19" s="8">
        <v>40</v>
      </c>
      <c r="F19" s="8">
        <v>65</v>
      </c>
    </row>
    <row r="20" spans="1:6">
      <c r="A20" s="7">
        <v>46235</v>
      </c>
      <c r="B20" s="8" t="s">
        <v>109</v>
      </c>
      <c r="C20" s="8" t="s">
        <v>77</v>
      </c>
      <c r="D20" s="8" t="s">
        <v>66</v>
      </c>
      <c r="E20" s="8">
        <v>115</v>
      </c>
      <c r="F20" s="8">
        <v>165</v>
      </c>
    </row>
    <row r="21" spans="1:6">
      <c r="A21" s="7">
        <v>46235</v>
      </c>
      <c r="B21" s="8" t="s">
        <v>109</v>
      </c>
      <c r="C21" s="8" t="s">
        <v>77</v>
      </c>
      <c r="D21" s="8" t="s">
        <v>113</v>
      </c>
      <c r="E21" s="8">
        <v>47</v>
      </c>
      <c r="F21" s="8">
        <v>65</v>
      </c>
    </row>
    <row r="22" spans="1:6">
      <c r="A22" s="7">
        <v>46235</v>
      </c>
      <c r="B22" s="8" t="s">
        <v>109</v>
      </c>
      <c r="C22" s="8" t="s">
        <v>77</v>
      </c>
      <c r="D22" s="8" t="s">
        <v>114</v>
      </c>
      <c r="E22" s="8">
        <v>34</v>
      </c>
      <c r="F22" s="8">
        <v>55</v>
      </c>
    </row>
    <row r="23" spans="1:6">
      <c r="A23" s="7">
        <v>46235</v>
      </c>
      <c r="B23" s="8" t="s">
        <v>111</v>
      </c>
      <c r="C23" s="8" t="s">
        <v>89</v>
      </c>
      <c r="D23" s="8" t="s">
        <v>66</v>
      </c>
      <c r="E23" s="8">
        <v>84</v>
      </c>
      <c r="F23" s="8">
        <v>120</v>
      </c>
    </row>
    <row r="24" spans="1:6">
      <c r="A24" s="8" t="s">
        <v>117</v>
      </c>
      <c r="B24" s="8" t="s">
        <v>111</v>
      </c>
      <c r="C24" s="8" t="s">
        <v>89</v>
      </c>
      <c r="D24" s="8" t="s">
        <v>113</v>
      </c>
      <c r="E24" s="8">
        <v>32</v>
      </c>
      <c r="F24" s="8">
        <v>50</v>
      </c>
    </row>
    <row r="25" spans="1:6">
      <c r="A25" s="7">
        <v>46235</v>
      </c>
      <c r="B25" s="8" t="s">
        <v>111</v>
      </c>
      <c r="C25" s="8" t="s">
        <v>89</v>
      </c>
      <c r="D25" s="8" t="s">
        <v>114</v>
      </c>
      <c r="E25" s="8">
        <v>29</v>
      </c>
      <c r="F25" s="8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EBF8-0760-450F-BEDB-7280B9B58660}">
  <dimension ref="A1:F25"/>
  <sheetViews>
    <sheetView workbookViewId="0">
      <selection activeCell="E11" sqref="E11"/>
    </sheetView>
  </sheetViews>
  <sheetFormatPr defaultRowHeight="15"/>
  <cols>
    <col min="1" max="1" width="12.28515625" customWidth="1"/>
    <col min="2" max="2" width="23.7109375" bestFit="1" customWidth="1"/>
    <col min="3" max="3" width="12" customWidth="1"/>
    <col min="4" max="4" width="15.5703125" bestFit="1" customWidth="1"/>
    <col min="5" max="5" width="14" customWidth="1"/>
    <col min="6" max="6" width="13.28515625" customWidth="1"/>
  </cols>
  <sheetData>
    <row r="1" spans="1:6" ht="24">
      <c r="A1" s="6" t="s">
        <v>71</v>
      </c>
      <c r="B1" s="6" t="s">
        <v>73</v>
      </c>
      <c r="C1" s="6" t="s">
        <v>27</v>
      </c>
      <c r="D1" s="6" t="s">
        <v>78</v>
      </c>
      <c r="E1" s="6" t="s">
        <v>81</v>
      </c>
      <c r="F1" s="6" t="s">
        <v>83</v>
      </c>
    </row>
    <row r="2" spans="1:6">
      <c r="A2" s="8">
        <v>2026</v>
      </c>
      <c r="B2" s="8" t="s">
        <v>118</v>
      </c>
      <c r="C2" s="8" t="s">
        <v>53</v>
      </c>
      <c r="D2" s="8" t="s">
        <v>119</v>
      </c>
      <c r="E2" s="8">
        <v>93</v>
      </c>
      <c r="F2" s="8">
        <v>4</v>
      </c>
    </row>
    <row r="3" spans="1:6">
      <c r="A3" s="8">
        <v>2026</v>
      </c>
      <c r="B3" s="8" t="s">
        <v>118</v>
      </c>
      <c r="C3" s="8" t="s">
        <v>53</v>
      </c>
      <c r="D3" s="8" t="s">
        <v>80</v>
      </c>
      <c r="E3" s="8">
        <v>155</v>
      </c>
      <c r="F3" s="8">
        <v>6</v>
      </c>
    </row>
    <row r="4" spans="1:6">
      <c r="A4" s="8">
        <v>2026</v>
      </c>
      <c r="B4" s="8" t="s">
        <v>118</v>
      </c>
      <c r="C4" s="8" t="s">
        <v>53</v>
      </c>
      <c r="D4" s="8" t="s">
        <v>120</v>
      </c>
      <c r="E4" s="8">
        <v>136</v>
      </c>
      <c r="F4" s="8">
        <v>5</v>
      </c>
    </row>
    <row r="5" spans="1:6">
      <c r="A5" s="8">
        <v>2026</v>
      </c>
      <c r="B5" s="8" t="s">
        <v>121</v>
      </c>
      <c r="C5" s="8" t="s">
        <v>122</v>
      </c>
      <c r="D5" s="8" t="s">
        <v>119</v>
      </c>
      <c r="E5" s="8">
        <v>84</v>
      </c>
      <c r="F5" s="8">
        <v>3</v>
      </c>
    </row>
    <row r="6" spans="1:6">
      <c r="A6" s="8">
        <v>2026</v>
      </c>
      <c r="B6" s="8" t="s">
        <v>121</v>
      </c>
      <c r="C6" s="8" t="s">
        <v>53</v>
      </c>
      <c r="D6" s="8" t="s">
        <v>80</v>
      </c>
      <c r="E6" s="8">
        <v>151</v>
      </c>
      <c r="F6" s="8">
        <v>6</v>
      </c>
    </row>
    <row r="7" spans="1:6">
      <c r="A7" s="8">
        <v>2026</v>
      </c>
      <c r="B7" s="8" t="s">
        <v>121</v>
      </c>
      <c r="C7" s="8" t="s">
        <v>53</v>
      </c>
      <c r="D7" s="8" t="s">
        <v>120</v>
      </c>
      <c r="E7" s="8">
        <v>155</v>
      </c>
      <c r="F7" s="8">
        <v>6</v>
      </c>
    </row>
    <row r="8" spans="1:6">
      <c r="A8" s="8">
        <v>2026</v>
      </c>
      <c r="B8" s="8" t="s">
        <v>123</v>
      </c>
      <c r="C8" s="8" t="s">
        <v>63</v>
      </c>
      <c r="D8" s="8" t="s">
        <v>119</v>
      </c>
      <c r="E8" s="8">
        <v>121</v>
      </c>
      <c r="F8" s="8">
        <v>5</v>
      </c>
    </row>
    <row r="9" spans="1:6">
      <c r="A9" s="8">
        <v>2026</v>
      </c>
      <c r="B9" s="8" t="s">
        <v>123</v>
      </c>
      <c r="C9" s="8" t="s">
        <v>63</v>
      </c>
      <c r="D9" s="8" t="s">
        <v>80</v>
      </c>
      <c r="E9" s="8">
        <v>213</v>
      </c>
      <c r="F9" s="8">
        <v>8</v>
      </c>
    </row>
    <row r="10" spans="1:6">
      <c r="A10" s="8">
        <v>2026</v>
      </c>
      <c r="B10" s="8" t="s">
        <v>123</v>
      </c>
      <c r="C10" s="8" t="s">
        <v>63</v>
      </c>
      <c r="D10" s="8" t="s">
        <v>120</v>
      </c>
      <c r="E10" s="8">
        <v>168</v>
      </c>
      <c r="F10" s="8">
        <v>6</v>
      </c>
    </row>
    <row r="11" spans="1:6">
      <c r="A11" s="8">
        <v>2026</v>
      </c>
      <c r="B11" s="8" t="s">
        <v>124</v>
      </c>
      <c r="C11" s="8" t="s">
        <v>63</v>
      </c>
      <c r="D11" s="8" t="s">
        <v>119</v>
      </c>
      <c r="E11" s="8">
        <v>123</v>
      </c>
      <c r="F11" s="8">
        <v>5</v>
      </c>
    </row>
    <row r="12" spans="1:6">
      <c r="A12" s="8">
        <v>2026</v>
      </c>
      <c r="B12" s="8" t="s">
        <v>125</v>
      </c>
      <c r="C12" s="8" t="s">
        <v>63</v>
      </c>
      <c r="D12" s="8" t="s">
        <v>80</v>
      </c>
      <c r="E12" s="8">
        <v>191</v>
      </c>
      <c r="F12" s="8">
        <v>7</v>
      </c>
    </row>
    <row r="13" spans="1:6">
      <c r="A13" s="8">
        <v>2026</v>
      </c>
      <c r="B13" s="8" t="s">
        <v>124</v>
      </c>
      <c r="C13" s="8" t="s">
        <v>63</v>
      </c>
      <c r="D13" s="8" t="s">
        <v>120</v>
      </c>
      <c r="E13" s="8">
        <v>177</v>
      </c>
      <c r="F13" s="8">
        <v>7</v>
      </c>
    </row>
    <row r="14" spans="1:6">
      <c r="A14" s="8">
        <v>2026</v>
      </c>
      <c r="B14" s="8" t="s">
        <v>75</v>
      </c>
      <c r="C14" s="8" t="s">
        <v>77</v>
      </c>
      <c r="D14" s="8" t="s">
        <v>119</v>
      </c>
      <c r="E14" s="8">
        <v>111</v>
      </c>
      <c r="F14" s="8">
        <v>4</v>
      </c>
    </row>
    <row r="15" spans="1:6">
      <c r="A15" s="8">
        <v>2026</v>
      </c>
      <c r="B15" s="8" t="s">
        <v>75</v>
      </c>
      <c r="C15" s="8" t="s">
        <v>110</v>
      </c>
      <c r="D15" s="8" t="s">
        <v>80</v>
      </c>
      <c r="E15" s="8">
        <v>182</v>
      </c>
      <c r="F15" s="8">
        <v>7</v>
      </c>
    </row>
    <row r="16" spans="1:6">
      <c r="A16" s="8">
        <v>2026</v>
      </c>
      <c r="B16" s="8" t="s">
        <v>75</v>
      </c>
      <c r="C16" s="8" t="s">
        <v>77</v>
      </c>
      <c r="D16" s="8" t="s">
        <v>120</v>
      </c>
      <c r="E16" s="8">
        <v>156</v>
      </c>
      <c r="F16" s="8">
        <v>6</v>
      </c>
    </row>
    <row r="17" spans="1:6">
      <c r="A17" s="8">
        <v>2026</v>
      </c>
      <c r="B17" s="8" t="s">
        <v>126</v>
      </c>
      <c r="C17" s="8" t="s">
        <v>77</v>
      </c>
      <c r="D17" s="8" t="s">
        <v>119</v>
      </c>
      <c r="E17" s="8">
        <v>103</v>
      </c>
      <c r="F17" s="8">
        <v>4</v>
      </c>
    </row>
    <row r="18" spans="1:6">
      <c r="A18" s="8">
        <v>2026</v>
      </c>
      <c r="B18" s="8" t="s">
        <v>126</v>
      </c>
      <c r="C18" s="8" t="s">
        <v>77</v>
      </c>
      <c r="D18" s="8" t="s">
        <v>80</v>
      </c>
      <c r="E18" s="8">
        <v>190</v>
      </c>
      <c r="F18" s="8">
        <v>7</v>
      </c>
    </row>
    <row r="19" spans="1:6">
      <c r="A19" s="8">
        <v>2026</v>
      </c>
      <c r="B19" s="8" t="s">
        <v>126</v>
      </c>
      <c r="C19" s="8" t="s">
        <v>77</v>
      </c>
      <c r="D19" s="8" t="s">
        <v>120</v>
      </c>
      <c r="E19" s="8">
        <v>164</v>
      </c>
      <c r="F19" s="8"/>
    </row>
    <row r="20" spans="1:6">
      <c r="A20" s="8">
        <v>2026</v>
      </c>
      <c r="B20" s="8" t="s">
        <v>127</v>
      </c>
      <c r="C20" s="8" t="s">
        <v>89</v>
      </c>
      <c r="D20" s="8" t="s">
        <v>119</v>
      </c>
      <c r="E20" s="8">
        <v>67</v>
      </c>
      <c r="F20" s="8">
        <v>3</v>
      </c>
    </row>
    <row r="21" spans="1:6">
      <c r="A21" s="8">
        <v>2026</v>
      </c>
      <c r="B21" s="8" t="s">
        <v>127</v>
      </c>
      <c r="C21" s="8" t="s">
        <v>89</v>
      </c>
      <c r="D21" s="8" t="s">
        <v>80</v>
      </c>
      <c r="E21" s="8">
        <v>114</v>
      </c>
      <c r="F21" s="8">
        <v>5</v>
      </c>
    </row>
    <row r="22" spans="1:6">
      <c r="A22" s="8">
        <v>2026</v>
      </c>
      <c r="B22" s="8" t="s">
        <v>127</v>
      </c>
      <c r="C22" s="8" t="s">
        <v>89</v>
      </c>
      <c r="D22" s="8" t="s">
        <v>120</v>
      </c>
      <c r="E22" s="8">
        <v>107</v>
      </c>
      <c r="F22" s="8">
        <v>4</v>
      </c>
    </row>
    <row r="23" spans="1:6">
      <c r="A23" s="8">
        <v>2026</v>
      </c>
      <c r="B23" s="8" t="s">
        <v>128</v>
      </c>
      <c r="C23" s="8" t="s">
        <v>89</v>
      </c>
      <c r="D23" s="8" t="s">
        <v>119</v>
      </c>
      <c r="E23" s="8">
        <v>68</v>
      </c>
      <c r="F23" s="8">
        <v>3</v>
      </c>
    </row>
    <row r="24" spans="1:6">
      <c r="A24" s="8">
        <v>2026</v>
      </c>
      <c r="B24" s="8" t="s">
        <v>128</v>
      </c>
      <c r="C24" s="8" t="s">
        <v>89</v>
      </c>
      <c r="D24" s="8" t="s">
        <v>80</v>
      </c>
      <c r="E24" s="8">
        <v>119</v>
      </c>
      <c r="F24" s="8">
        <v>5</v>
      </c>
    </row>
    <row r="25" spans="1:6">
      <c r="A25" s="8">
        <v>2026</v>
      </c>
      <c r="B25" s="8" t="s">
        <v>128</v>
      </c>
      <c r="C25" s="8" t="s">
        <v>89</v>
      </c>
      <c r="D25" s="8" t="s">
        <v>120</v>
      </c>
      <c r="E25" s="8">
        <v>124</v>
      </c>
      <c r="F25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6B2B-5213-423D-B19A-C7285B38E450}">
  <dimension ref="A1:F25"/>
  <sheetViews>
    <sheetView workbookViewId="0">
      <selection activeCell="A2" sqref="A2"/>
    </sheetView>
  </sheetViews>
  <sheetFormatPr defaultRowHeight="15"/>
  <cols>
    <col min="1" max="1" width="16" customWidth="1"/>
    <col min="2" max="2" width="21.85546875" bestFit="1" customWidth="1"/>
    <col min="3" max="3" width="8" bestFit="1" customWidth="1"/>
    <col min="4" max="4" width="17.28515625" customWidth="1"/>
    <col min="5" max="5" width="28.140625" customWidth="1"/>
    <col min="6" max="6" width="24.140625" customWidth="1"/>
  </cols>
  <sheetData>
    <row r="1" spans="1:6" ht="24">
      <c r="A1" s="6" t="s">
        <v>45</v>
      </c>
      <c r="B1" s="6" t="s">
        <v>85</v>
      </c>
      <c r="C1" s="6" t="s">
        <v>27</v>
      </c>
      <c r="D1" s="6" t="s">
        <v>90</v>
      </c>
      <c r="E1" s="6" t="s">
        <v>92</v>
      </c>
      <c r="F1" s="6" t="s">
        <v>94</v>
      </c>
    </row>
    <row r="2" spans="1:6">
      <c r="A2" s="7">
        <v>46082</v>
      </c>
      <c r="B2" s="8" t="s">
        <v>129</v>
      </c>
      <c r="C2" s="8" t="s">
        <v>53</v>
      </c>
      <c r="D2" s="8">
        <v>409</v>
      </c>
      <c r="E2" s="8">
        <v>83</v>
      </c>
      <c r="F2" s="8">
        <v>147</v>
      </c>
    </row>
    <row r="3" spans="1:6">
      <c r="A3" s="7">
        <v>46082</v>
      </c>
      <c r="B3" s="8" t="s">
        <v>130</v>
      </c>
      <c r="C3" s="8" t="s">
        <v>63</v>
      </c>
      <c r="D3" s="8">
        <v>516</v>
      </c>
      <c r="E3" s="8">
        <v>130</v>
      </c>
      <c r="F3" s="8">
        <v>180</v>
      </c>
    </row>
    <row r="4" spans="1:6">
      <c r="A4" s="7">
        <v>46082</v>
      </c>
      <c r="B4" s="8" t="s">
        <v>131</v>
      </c>
      <c r="C4" s="8" t="s">
        <v>77</v>
      </c>
      <c r="D4" s="8">
        <v>433</v>
      </c>
      <c r="E4" s="8">
        <v>86</v>
      </c>
      <c r="F4" s="8">
        <v>157</v>
      </c>
    </row>
    <row r="5" spans="1:6">
      <c r="A5" s="7">
        <v>46082</v>
      </c>
      <c r="B5" s="8" t="s">
        <v>132</v>
      </c>
      <c r="C5" s="8" t="s">
        <v>89</v>
      </c>
      <c r="D5" s="8">
        <v>315</v>
      </c>
      <c r="E5" s="8">
        <v>71</v>
      </c>
      <c r="F5" s="8">
        <v>125</v>
      </c>
    </row>
    <row r="6" spans="1:6">
      <c r="A6" s="7">
        <v>46113</v>
      </c>
      <c r="B6" s="8" t="s">
        <v>129</v>
      </c>
      <c r="C6" s="8" t="s">
        <v>53</v>
      </c>
      <c r="D6" s="8">
        <v>402</v>
      </c>
      <c r="E6" s="8">
        <v>79</v>
      </c>
      <c r="F6" s="8">
        <v>161</v>
      </c>
    </row>
    <row r="7" spans="1:6">
      <c r="A7" s="7">
        <v>46113</v>
      </c>
      <c r="B7" s="8" t="s">
        <v>130</v>
      </c>
      <c r="C7" s="8" t="s">
        <v>63</v>
      </c>
      <c r="D7" s="8">
        <v>526</v>
      </c>
      <c r="E7" s="8">
        <v>98</v>
      </c>
      <c r="F7" s="8">
        <v>157</v>
      </c>
    </row>
    <row r="8" spans="1:6">
      <c r="A8" s="7">
        <v>46113</v>
      </c>
      <c r="B8" s="8" t="s">
        <v>131</v>
      </c>
      <c r="C8" s="8" t="s">
        <v>77</v>
      </c>
      <c r="D8" s="8">
        <v>434</v>
      </c>
      <c r="E8" s="8">
        <v>99</v>
      </c>
      <c r="F8" s="8">
        <v>167</v>
      </c>
    </row>
    <row r="9" spans="1:6">
      <c r="A9" s="7">
        <v>46113</v>
      </c>
      <c r="B9" s="8" t="s">
        <v>87</v>
      </c>
      <c r="C9" s="8" t="s">
        <v>89</v>
      </c>
      <c r="D9" s="8">
        <v>322</v>
      </c>
      <c r="E9" s="8">
        <v>59</v>
      </c>
      <c r="F9" s="8">
        <v>108</v>
      </c>
    </row>
    <row r="10" spans="1:6">
      <c r="A10" s="7">
        <v>46143</v>
      </c>
      <c r="B10" s="8" t="s">
        <v>129</v>
      </c>
      <c r="C10" s="8" t="s">
        <v>53</v>
      </c>
      <c r="D10" s="8">
        <v>421</v>
      </c>
      <c r="E10" s="8">
        <v>93</v>
      </c>
      <c r="F10" s="8">
        <v>160</v>
      </c>
    </row>
    <row r="11" spans="1:6">
      <c r="A11" s="7">
        <v>46143</v>
      </c>
      <c r="B11" s="8" t="s">
        <v>130</v>
      </c>
      <c r="C11" s="8" t="s">
        <v>63</v>
      </c>
      <c r="D11" s="8">
        <v>544</v>
      </c>
      <c r="E11" s="8">
        <v>98</v>
      </c>
      <c r="F11" s="8">
        <v>194</v>
      </c>
    </row>
    <row r="12" spans="1:6">
      <c r="A12" s="7">
        <v>46143</v>
      </c>
      <c r="B12" s="8" t="s">
        <v>131</v>
      </c>
      <c r="C12" s="8" t="s">
        <v>77</v>
      </c>
      <c r="D12" s="8">
        <v>455</v>
      </c>
      <c r="E12" s="8">
        <v>101</v>
      </c>
      <c r="F12" s="8">
        <v>143</v>
      </c>
    </row>
    <row r="13" spans="1:6">
      <c r="A13" s="7">
        <v>46143</v>
      </c>
      <c r="B13" s="8" t="s">
        <v>87</v>
      </c>
      <c r="C13" s="8" t="s">
        <v>89</v>
      </c>
      <c r="D13" s="8">
        <v>330</v>
      </c>
      <c r="E13" s="8">
        <v>62</v>
      </c>
      <c r="F13" s="8">
        <v>110</v>
      </c>
    </row>
    <row r="14" spans="1:6">
      <c r="A14" s="7">
        <v>46174</v>
      </c>
      <c r="B14" s="8" t="s">
        <v>129</v>
      </c>
      <c r="C14" s="8" t="s">
        <v>53</v>
      </c>
      <c r="D14" s="8">
        <v>413</v>
      </c>
      <c r="E14" s="8">
        <v>105</v>
      </c>
      <c r="F14" s="8">
        <v>156</v>
      </c>
    </row>
    <row r="15" spans="1:6">
      <c r="A15" s="7">
        <v>46174</v>
      </c>
      <c r="B15" s="8" t="s">
        <v>130</v>
      </c>
      <c r="C15" s="8" t="s">
        <v>63</v>
      </c>
      <c r="D15" s="8">
        <v>531</v>
      </c>
      <c r="E15" s="8">
        <v>116</v>
      </c>
      <c r="F15" s="8">
        <v>164</v>
      </c>
    </row>
    <row r="16" spans="1:6">
      <c r="A16" s="7">
        <v>46174</v>
      </c>
      <c r="B16" s="8" t="s">
        <v>131</v>
      </c>
      <c r="C16" s="8" t="s">
        <v>77</v>
      </c>
      <c r="D16" s="8">
        <v>467</v>
      </c>
      <c r="E16" s="8">
        <v>116</v>
      </c>
      <c r="F16" s="8">
        <v>145</v>
      </c>
    </row>
    <row r="17" spans="1:6">
      <c r="A17" s="7">
        <v>46174</v>
      </c>
      <c r="B17" s="8" t="s">
        <v>87</v>
      </c>
      <c r="C17" s="8" t="s">
        <v>133</v>
      </c>
      <c r="D17" s="8">
        <v>334</v>
      </c>
      <c r="E17" s="8">
        <v>76</v>
      </c>
      <c r="F17" s="8">
        <v>100</v>
      </c>
    </row>
    <row r="18" spans="1:6">
      <c r="A18" s="7">
        <v>46204</v>
      </c>
      <c r="B18" s="8" t="s">
        <v>129</v>
      </c>
      <c r="C18" s="8" t="s">
        <v>53</v>
      </c>
      <c r="D18" s="8">
        <v>425</v>
      </c>
      <c r="E18" s="8">
        <v>94</v>
      </c>
      <c r="F18" s="8">
        <v>152</v>
      </c>
    </row>
    <row r="19" spans="1:6">
      <c r="A19" s="7">
        <v>46204</v>
      </c>
      <c r="B19" s="8" t="s">
        <v>130</v>
      </c>
      <c r="C19" s="8" t="s">
        <v>63</v>
      </c>
      <c r="D19" s="8">
        <v>545</v>
      </c>
      <c r="E19" s="8">
        <v>98</v>
      </c>
      <c r="F19" s="8">
        <v>172</v>
      </c>
    </row>
    <row r="20" spans="1:6">
      <c r="A20" s="7">
        <v>46204</v>
      </c>
      <c r="B20" s="8" t="s">
        <v>131</v>
      </c>
      <c r="C20" s="8" t="s">
        <v>77</v>
      </c>
      <c r="D20" s="8">
        <v>447</v>
      </c>
      <c r="E20" s="8"/>
      <c r="F20" s="8">
        <v>171</v>
      </c>
    </row>
    <row r="21" spans="1:6">
      <c r="A21" s="7">
        <v>46204</v>
      </c>
      <c r="B21" s="8" t="s">
        <v>87</v>
      </c>
      <c r="C21" s="8" t="s">
        <v>89</v>
      </c>
      <c r="D21" s="8">
        <v>342</v>
      </c>
      <c r="E21" s="8">
        <v>69</v>
      </c>
      <c r="F21" s="8">
        <v>97</v>
      </c>
    </row>
    <row r="22" spans="1:6">
      <c r="A22" s="7">
        <v>46235</v>
      </c>
      <c r="B22" s="8" t="s">
        <v>129</v>
      </c>
      <c r="C22" s="8" t="s">
        <v>53</v>
      </c>
      <c r="D22" s="8">
        <v>433</v>
      </c>
      <c r="E22" s="8">
        <v>110</v>
      </c>
      <c r="F22" s="8">
        <v>123</v>
      </c>
    </row>
    <row r="23" spans="1:6">
      <c r="A23" s="7">
        <v>46235</v>
      </c>
      <c r="B23" s="8" t="s">
        <v>130</v>
      </c>
      <c r="C23" s="8" t="s">
        <v>63</v>
      </c>
      <c r="D23" s="8">
        <v>550</v>
      </c>
      <c r="E23" s="8">
        <v>102</v>
      </c>
      <c r="F23" s="8">
        <v>196</v>
      </c>
    </row>
    <row r="24" spans="1:6">
      <c r="A24" s="7">
        <v>46235</v>
      </c>
      <c r="B24" s="8" t="s">
        <v>131</v>
      </c>
      <c r="C24" s="8" t="s">
        <v>77</v>
      </c>
      <c r="D24" s="8">
        <v>473</v>
      </c>
      <c r="E24" s="8">
        <v>89</v>
      </c>
      <c r="F24" s="8">
        <v>153</v>
      </c>
    </row>
    <row r="25" spans="1:6">
      <c r="A25" s="7">
        <v>46235</v>
      </c>
      <c r="B25" s="8" t="s">
        <v>87</v>
      </c>
      <c r="C25" s="8" t="s">
        <v>89</v>
      </c>
      <c r="D25" s="8">
        <v>340</v>
      </c>
      <c r="E25" s="8">
        <v>68</v>
      </c>
      <c r="F25" s="8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C72C-9F3C-450C-9FDC-A4DDAA88D2F4}">
  <dimension ref="A1:E25"/>
  <sheetViews>
    <sheetView workbookViewId="0">
      <selection activeCell="G7" sqref="G7"/>
    </sheetView>
  </sheetViews>
  <sheetFormatPr defaultRowHeight="15"/>
  <cols>
    <col min="1" max="1" width="14.5703125" customWidth="1"/>
    <col min="3" max="3" width="13.140625" customWidth="1"/>
    <col min="4" max="4" width="14" customWidth="1"/>
    <col min="5" max="5" width="18.7109375" customWidth="1"/>
  </cols>
  <sheetData>
    <row r="1" spans="1:5" ht="24">
      <c r="A1" s="6" t="s">
        <v>45</v>
      </c>
      <c r="B1" s="6" t="s">
        <v>37</v>
      </c>
      <c r="C1" s="6" t="s">
        <v>97</v>
      </c>
      <c r="D1" s="6" t="s">
        <v>100</v>
      </c>
      <c r="E1" s="6" t="s">
        <v>102</v>
      </c>
    </row>
    <row r="2" spans="1:5">
      <c r="A2" s="7">
        <v>46204</v>
      </c>
      <c r="B2" s="8" t="s">
        <v>36</v>
      </c>
      <c r="C2" s="8" t="s">
        <v>134</v>
      </c>
      <c r="D2" s="8">
        <v>8</v>
      </c>
      <c r="E2" s="8">
        <v>17.100000000000001</v>
      </c>
    </row>
    <row r="3" spans="1:5">
      <c r="A3" s="7">
        <v>46204</v>
      </c>
      <c r="B3" s="8" t="s">
        <v>36</v>
      </c>
      <c r="C3" s="8" t="s">
        <v>99</v>
      </c>
      <c r="D3" s="8">
        <v>6</v>
      </c>
      <c r="E3" s="8">
        <v>7.2</v>
      </c>
    </row>
    <row r="4" spans="1:5">
      <c r="A4" s="7">
        <v>46204</v>
      </c>
      <c r="B4" s="8" t="s">
        <v>36</v>
      </c>
      <c r="C4" s="8" t="s">
        <v>135</v>
      </c>
      <c r="D4" s="8">
        <v>10</v>
      </c>
      <c r="E4" s="8">
        <v>10</v>
      </c>
    </row>
    <row r="5" spans="1:5">
      <c r="A5" s="7">
        <v>46204</v>
      </c>
      <c r="B5" s="8" t="s">
        <v>13</v>
      </c>
      <c r="C5" s="8" t="s">
        <v>134</v>
      </c>
      <c r="D5" s="8">
        <v>23</v>
      </c>
      <c r="E5" s="8">
        <v>21.5</v>
      </c>
    </row>
    <row r="6" spans="1:5">
      <c r="A6" s="7">
        <v>46204</v>
      </c>
      <c r="B6" s="8" t="s">
        <v>136</v>
      </c>
      <c r="C6" s="8" t="s">
        <v>99</v>
      </c>
      <c r="D6" s="8">
        <v>14</v>
      </c>
      <c r="E6" s="8">
        <v>6.6</v>
      </c>
    </row>
    <row r="7" spans="1:5">
      <c r="A7" s="7">
        <v>46204</v>
      </c>
      <c r="B7" s="8" t="s">
        <v>13</v>
      </c>
      <c r="C7" s="8" t="s">
        <v>135</v>
      </c>
      <c r="D7" s="8">
        <v>21</v>
      </c>
      <c r="E7" s="8">
        <v>9.5</v>
      </c>
    </row>
    <row r="8" spans="1:5">
      <c r="A8" s="7">
        <v>46204</v>
      </c>
      <c r="B8" s="8" t="s">
        <v>24</v>
      </c>
      <c r="C8" s="8" t="s">
        <v>134</v>
      </c>
      <c r="D8" s="8">
        <v>16</v>
      </c>
      <c r="E8" s="8">
        <v>20.9</v>
      </c>
    </row>
    <row r="9" spans="1:5">
      <c r="A9" s="7">
        <v>46204</v>
      </c>
      <c r="B9" s="8" t="s">
        <v>24</v>
      </c>
      <c r="C9" s="8" t="s">
        <v>99</v>
      </c>
      <c r="D9" s="8">
        <v>11</v>
      </c>
      <c r="E9" s="8">
        <v>5.6</v>
      </c>
    </row>
    <row r="10" spans="1:5">
      <c r="A10" s="9">
        <v>46204</v>
      </c>
      <c r="B10" s="8" t="s">
        <v>24</v>
      </c>
      <c r="C10" s="8" t="s">
        <v>135</v>
      </c>
      <c r="D10" s="8">
        <v>18</v>
      </c>
      <c r="E10" s="8">
        <v>11.7</v>
      </c>
    </row>
    <row r="11" spans="1:5">
      <c r="A11" s="7">
        <v>46204</v>
      </c>
      <c r="B11" s="8" t="s">
        <v>31</v>
      </c>
      <c r="C11" s="8" t="s">
        <v>134</v>
      </c>
      <c r="D11" s="8">
        <v>11</v>
      </c>
      <c r="E11" s="8">
        <v>24.1</v>
      </c>
    </row>
    <row r="12" spans="1:5">
      <c r="A12" s="7">
        <v>46204</v>
      </c>
      <c r="B12" s="8" t="s">
        <v>31</v>
      </c>
      <c r="C12" s="8" t="s">
        <v>99</v>
      </c>
      <c r="D12" s="8">
        <v>10</v>
      </c>
      <c r="E12" s="8">
        <v>5.0999999999999996</v>
      </c>
    </row>
    <row r="13" spans="1:5">
      <c r="A13" s="7">
        <v>46204</v>
      </c>
      <c r="B13" s="8" t="s">
        <v>31</v>
      </c>
      <c r="C13" s="8" t="s">
        <v>135</v>
      </c>
      <c r="D13" s="8">
        <v>15</v>
      </c>
      <c r="E13" s="8">
        <v>11.9</v>
      </c>
    </row>
    <row r="14" spans="1:5">
      <c r="A14" s="7">
        <v>46235</v>
      </c>
      <c r="B14" s="8" t="s">
        <v>36</v>
      </c>
      <c r="C14" s="8" t="s">
        <v>134</v>
      </c>
      <c r="D14" s="8">
        <v>7</v>
      </c>
      <c r="E14" s="8">
        <v>16.3</v>
      </c>
    </row>
    <row r="15" spans="1:5">
      <c r="A15" s="7">
        <v>46235</v>
      </c>
      <c r="B15" s="8" t="s">
        <v>36</v>
      </c>
      <c r="C15" s="8" t="s">
        <v>99</v>
      </c>
      <c r="D15" s="8">
        <v>7</v>
      </c>
      <c r="E15" s="8">
        <v>6.7</v>
      </c>
    </row>
    <row r="16" spans="1:5">
      <c r="A16" s="7">
        <v>46235</v>
      </c>
      <c r="B16" s="8" t="s">
        <v>36</v>
      </c>
      <c r="C16" s="8" t="s">
        <v>135</v>
      </c>
      <c r="D16" s="8">
        <v>11</v>
      </c>
      <c r="E16" s="8">
        <v>12.6</v>
      </c>
    </row>
    <row r="17" spans="1:5">
      <c r="A17" s="7">
        <v>46235</v>
      </c>
      <c r="B17" s="8" t="s">
        <v>13</v>
      </c>
      <c r="C17" s="8" t="s">
        <v>134</v>
      </c>
      <c r="D17" s="8">
        <v>22</v>
      </c>
      <c r="E17" s="8">
        <v>16.899999999999999</v>
      </c>
    </row>
    <row r="18" spans="1:5">
      <c r="A18" s="7">
        <v>46235</v>
      </c>
      <c r="B18" s="8" t="s">
        <v>13</v>
      </c>
      <c r="C18" s="8" t="s">
        <v>99</v>
      </c>
      <c r="D18" s="8">
        <v>12</v>
      </c>
      <c r="E18" s="8">
        <v>6.3</v>
      </c>
    </row>
    <row r="19" spans="1:5">
      <c r="A19" s="7">
        <v>46235</v>
      </c>
      <c r="B19" s="8" t="s">
        <v>13</v>
      </c>
      <c r="C19" s="8" t="s">
        <v>135</v>
      </c>
      <c r="D19" s="8">
        <v>24</v>
      </c>
      <c r="E19" s="8">
        <v>10.8</v>
      </c>
    </row>
    <row r="20" spans="1:5">
      <c r="A20" s="7">
        <v>46235</v>
      </c>
      <c r="B20" s="8" t="s">
        <v>24</v>
      </c>
      <c r="C20" s="8" t="s">
        <v>134</v>
      </c>
      <c r="D20" s="8">
        <v>18</v>
      </c>
      <c r="E20" s="8">
        <v>21.7</v>
      </c>
    </row>
    <row r="21" spans="1:5">
      <c r="A21" s="7">
        <v>46235</v>
      </c>
      <c r="B21" s="8" t="s">
        <v>24</v>
      </c>
      <c r="C21" s="8" t="s">
        <v>99</v>
      </c>
      <c r="D21" s="8">
        <v>14</v>
      </c>
      <c r="E21" s="8"/>
    </row>
    <row r="22" spans="1:5">
      <c r="A22" s="7">
        <v>46235</v>
      </c>
      <c r="B22" s="8" t="s">
        <v>24</v>
      </c>
      <c r="C22" s="8" t="s">
        <v>135</v>
      </c>
      <c r="D22" s="8">
        <v>21</v>
      </c>
      <c r="E22" s="8">
        <v>10.1</v>
      </c>
    </row>
    <row r="23" spans="1:5">
      <c r="A23" s="7">
        <v>46235</v>
      </c>
      <c r="B23" s="8" t="s">
        <v>31</v>
      </c>
      <c r="C23" s="8" t="s">
        <v>134</v>
      </c>
      <c r="D23" s="8">
        <v>14</v>
      </c>
      <c r="E23" s="8">
        <v>17.5</v>
      </c>
    </row>
    <row r="24" spans="1:5">
      <c r="A24" s="7">
        <v>46235</v>
      </c>
      <c r="B24" s="8" t="s">
        <v>31</v>
      </c>
      <c r="C24" s="8" t="s">
        <v>99</v>
      </c>
      <c r="D24" s="8">
        <v>8</v>
      </c>
      <c r="E24" s="8">
        <v>6.3</v>
      </c>
    </row>
    <row r="25" spans="1:5">
      <c r="A25" s="7">
        <v>46235</v>
      </c>
      <c r="B25" s="8" t="s">
        <v>31</v>
      </c>
      <c r="C25" s="8" t="s">
        <v>135</v>
      </c>
      <c r="D25" s="8">
        <v>16</v>
      </c>
      <c r="E25" s="8">
        <v>9.8000000000000007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3E3F-EA75-49E2-A151-EEA7A2F26CB3}">
  <dimension ref="A1:G21"/>
  <sheetViews>
    <sheetView topLeftCell="D1" workbookViewId="0">
      <selection activeCell="G9" sqref="G9"/>
    </sheetView>
  </sheetViews>
  <sheetFormatPr defaultRowHeight="15"/>
  <cols>
    <col min="1" max="1" width="22.42578125" bestFit="1" customWidth="1"/>
    <col min="2" max="2" width="11.5703125" customWidth="1"/>
    <col min="3" max="3" width="27.5703125" bestFit="1" customWidth="1"/>
    <col min="4" max="4" width="30" bestFit="1" customWidth="1"/>
    <col min="5" max="6" width="23.28515625" bestFit="1" customWidth="1"/>
    <col min="7" max="7" width="80.42578125" bestFit="1" customWidth="1"/>
  </cols>
  <sheetData>
    <row r="1" spans="1:7" ht="24">
      <c r="A1" s="6" t="s">
        <v>39</v>
      </c>
      <c r="B1" s="6" t="s">
        <v>137</v>
      </c>
      <c r="C1" s="6" t="s">
        <v>138</v>
      </c>
      <c r="D1" s="6" t="s">
        <v>139</v>
      </c>
      <c r="E1" s="6" t="s">
        <v>140</v>
      </c>
      <c r="F1" s="6" t="s">
        <v>141</v>
      </c>
      <c r="G1" s="6" t="s">
        <v>142</v>
      </c>
    </row>
    <row r="2" spans="1:7">
      <c r="A2" s="8" t="s">
        <v>11</v>
      </c>
      <c r="B2" s="8">
        <v>6</v>
      </c>
      <c r="C2" s="8" t="s">
        <v>27</v>
      </c>
      <c r="D2" s="8" t="s">
        <v>143</v>
      </c>
      <c r="E2" s="8" t="s">
        <v>108</v>
      </c>
      <c r="F2" s="8" t="s">
        <v>63</v>
      </c>
      <c r="G2" s="8" t="s">
        <v>144</v>
      </c>
    </row>
    <row r="3" spans="1:7">
      <c r="A3" s="8" t="s">
        <v>11</v>
      </c>
      <c r="B3" s="8">
        <v>9</v>
      </c>
      <c r="C3" s="8" t="s">
        <v>27</v>
      </c>
      <c r="D3" s="8" t="s">
        <v>143</v>
      </c>
      <c r="E3" s="8" t="s">
        <v>110</v>
      </c>
      <c r="F3" s="8" t="s">
        <v>77</v>
      </c>
      <c r="G3" s="8" t="s">
        <v>144</v>
      </c>
    </row>
    <row r="4" spans="1:7">
      <c r="A4" s="8" t="s">
        <v>11</v>
      </c>
      <c r="B4" s="8">
        <v>15</v>
      </c>
      <c r="C4" s="8" t="s">
        <v>27</v>
      </c>
      <c r="D4" s="8" t="s">
        <v>143</v>
      </c>
      <c r="E4" s="8" t="s">
        <v>112</v>
      </c>
      <c r="F4" s="8" t="s">
        <v>53</v>
      </c>
      <c r="G4" s="8" t="s">
        <v>144</v>
      </c>
    </row>
    <row r="5" spans="1:7">
      <c r="A5" s="8" t="s">
        <v>11</v>
      </c>
      <c r="B5" s="8">
        <v>22</v>
      </c>
      <c r="C5" s="8" t="s">
        <v>45</v>
      </c>
      <c r="D5" s="8" t="s">
        <v>145</v>
      </c>
      <c r="E5" s="9">
        <v>46235</v>
      </c>
      <c r="F5" s="7">
        <v>46235</v>
      </c>
      <c r="G5" s="8" t="s">
        <v>146</v>
      </c>
    </row>
    <row r="6" spans="1:7">
      <c r="A6" s="8" t="s">
        <v>11</v>
      </c>
      <c r="B6" s="8">
        <v>11</v>
      </c>
      <c r="C6" s="8" t="s">
        <v>57</v>
      </c>
      <c r="D6" s="8" t="s">
        <v>147</v>
      </c>
      <c r="E6" s="8" t="s">
        <v>148</v>
      </c>
      <c r="F6" s="8">
        <v>217</v>
      </c>
      <c r="G6" s="8" t="s">
        <v>149</v>
      </c>
    </row>
    <row r="7" spans="1:7">
      <c r="A7" s="8" t="s">
        <v>60</v>
      </c>
      <c r="B7" s="8">
        <v>12</v>
      </c>
      <c r="C7" s="8" t="s">
        <v>48</v>
      </c>
      <c r="D7" s="8" t="s">
        <v>150</v>
      </c>
      <c r="E7" s="8" t="s">
        <v>115</v>
      </c>
      <c r="F7" s="8" t="s">
        <v>111</v>
      </c>
      <c r="G7" s="8" t="s">
        <v>151</v>
      </c>
    </row>
    <row r="8" spans="1:7">
      <c r="A8" s="8" t="s">
        <v>60</v>
      </c>
      <c r="B8" s="8">
        <v>18</v>
      </c>
      <c r="C8" s="8" t="s">
        <v>27</v>
      </c>
      <c r="D8" s="8" t="s">
        <v>143</v>
      </c>
      <c r="E8" s="8" t="s">
        <v>116</v>
      </c>
      <c r="F8" s="8" t="s">
        <v>63</v>
      </c>
      <c r="G8" s="8" t="s">
        <v>144</v>
      </c>
    </row>
    <row r="9" spans="1:7">
      <c r="A9" s="8" t="s">
        <v>60</v>
      </c>
      <c r="B9" s="8">
        <v>7</v>
      </c>
      <c r="C9" s="8" t="s">
        <v>67</v>
      </c>
      <c r="D9" s="8" t="s">
        <v>147</v>
      </c>
      <c r="E9" s="8" t="s">
        <v>148</v>
      </c>
      <c r="F9" s="8">
        <v>56</v>
      </c>
      <c r="G9" s="8" t="s">
        <v>149</v>
      </c>
    </row>
    <row r="10" spans="1:7">
      <c r="A10" s="8" t="s">
        <v>60</v>
      </c>
      <c r="B10" s="8">
        <v>24</v>
      </c>
      <c r="C10" s="8" t="s">
        <v>45</v>
      </c>
      <c r="D10" s="8" t="s">
        <v>145</v>
      </c>
      <c r="E10" s="8" t="s">
        <v>117</v>
      </c>
      <c r="F10" s="7">
        <v>46235</v>
      </c>
      <c r="G10" s="8" t="s">
        <v>146</v>
      </c>
    </row>
    <row r="11" spans="1:7">
      <c r="A11" s="8" t="s">
        <v>22</v>
      </c>
      <c r="B11" s="8">
        <v>12</v>
      </c>
      <c r="C11" s="8" t="s">
        <v>73</v>
      </c>
      <c r="D11" s="8" t="s">
        <v>150</v>
      </c>
      <c r="E11" s="8" t="s">
        <v>125</v>
      </c>
      <c r="F11" s="8" t="s">
        <v>124</v>
      </c>
      <c r="G11" s="8" t="s">
        <v>151</v>
      </c>
    </row>
    <row r="12" spans="1:7">
      <c r="A12" s="8" t="s">
        <v>22</v>
      </c>
      <c r="B12" s="8">
        <v>15</v>
      </c>
      <c r="C12" s="8" t="s">
        <v>27</v>
      </c>
      <c r="D12" s="8" t="s">
        <v>143</v>
      </c>
      <c r="E12" s="8" t="s">
        <v>110</v>
      </c>
      <c r="F12" s="8" t="s">
        <v>77</v>
      </c>
      <c r="G12" s="8" t="s">
        <v>144</v>
      </c>
    </row>
    <row r="13" spans="1:7">
      <c r="A13" s="8" t="s">
        <v>22</v>
      </c>
      <c r="B13" s="8">
        <v>5</v>
      </c>
      <c r="C13" s="8" t="s">
        <v>27</v>
      </c>
      <c r="D13" s="8" t="s">
        <v>143</v>
      </c>
      <c r="E13" s="8" t="s">
        <v>122</v>
      </c>
      <c r="F13" s="8" t="s">
        <v>53</v>
      </c>
      <c r="G13" s="8" t="s">
        <v>144</v>
      </c>
    </row>
    <row r="14" spans="1:7">
      <c r="A14" s="8" t="s">
        <v>22</v>
      </c>
      <c r="B14" s="8">
        <v>19</v>
      </c>
      <c r="C14" s="8" t="s">
        <v>83</v>
      </c>
      <c r="D14" s="8" t="s">
        <v>147</v>
      </c>
      <c r="E14" s="8" t="s">
        <v>148</v>
      </c>
      <c r="F14" s="8">
        <v>6</v>
      </c>
      <c r="G14" s="8" t="s">
        <v>149</v>
      </c>
    </row>
    <row r="15" spans="1:7">
      <c r="A15" s="8" t="s">
        <v>29</v>
      </c>
      <c r="B15" s="8">
        <v>12</v>
      </c>
      <c r="C15" s="8" t="s">
        <v>45</v>
      </c>
      <c r="D15" s="8" t="s">
        <v>145</v>
      </c>
      <c r="E15" s="8" t="s">
        <v>152</v>
      </c>
      <c r="F15" s="7">
        <v>46143</v>
      </c>
      <c r="G15" s="8" t="s">
        <v>146</v>
      </c>
    </row>
    <row r="16" spans="1:7">
      <c r="A16" s="8" t="s">
        <v>29</v>
      </c>
      <c r="B16" s="8">
        <v>17</v>
      </c>
      <c r="C16" s="8" t="s">
        <v>27</v>
      </c>
      <c r="D16" s="8" t="s">
        <v>143</v>
      </c>
      <c r="E16" s="8" t="s">
        <v>133</v>
      </c>
      <c r="F16" s="8" t="s">
        <v>89</v>
      </c>
      <c r="G16" s="8" t="s">
        <v>144</v>
      </c>
    </row>
    <row r="17" spans="1:7">
      <c r="A17" s="8" t="s">
        <v>29</v>
      </c>
      <c r="B17" s="8">
        <v>20</v>
      </c>
      <c r="C17" s="8" t="s">
        <v>92</v>
      </c>
      <c r="D17" s="8" t="s">
        <v>147</v>
      </c>
      <c r="E17" s="8" t="s">
        <v>148</v>
      </c>
      <c r="F17" s="8">
        <v>113</v>
      </c>
      <c r="G17" s="8" t="s">
        <v>149</v>
      </c>
    </row>
    <row r="18" spans="1:7">
      <c r="A18" s="8" t="s">
        <v>29</v>
      </c>
      <c r="B18" s="8">
        <v>5</v>
      </c>
      <c r="C18" s="8" t="s">
        <v>85</v>
      </c>
      <c r="D18" s="8" t="s">
        <v>150</v>
      </c>
      <c r="E18" s="8" t="s">
        <v>132</v>
      </c>
      <c r="F18" s="8" t="s">
        <v>87</v>
      </c>
      <c r="G18" s="8" t="s">
        <v>151</v>
      </c>
    </row>
    <row r="19" spans="1:7">
      <c r="A19" s="8" t="s">
        <v>95</v>
      </c>
      <c r="B19" s="8">
        <v>6</v>
      </c>
      <c r="C19" s="8" t="s">
        <v>37</v>
      </c>
      <c r="D19" s="8" t="s">
        <v>150</v>
      </c>
      <c r="E19" s="8" t="s">
        <v>136</v>
      </c>
      <c r="F19" s="8" t="s">
        <v>13</v>
      </c>
      <c r="G19" s="8" t="s">
        <v>151</v>
      </c>
    </row>
    <row r="20" spans="1:7">
      <c r="A20" s="8" t="s">
        <v>95</v>
      </c>
      <c r="B20" s="8">
        <v>10</v>
      </c>
      <c r="C20" s="8" t="s">
        <v>45</v>
      </c>
      <c r="D20" s="8" t="s">
        <v>145</v>
      </c>
      <c r="E20" s="9">
        <v>46204</v>
      </c>
      <c r="F20" s="7">
        <v>46204</v>
      </c>
      <c r="G20" s="8" t="s">
        <v>146</v>
      </c>
    </row>
    <row r="21" spans="1:7">
      <c r="A21" s="8" t="s">
        <v>95</v>
      </c>
      <c r="B21" s="8">
        <v>21</v>
      </c>
      <c r="C21" s="8" t="s">
        <v>102</v>
      </c>
      <c r="D21" s="8" t="s">
        <v>147</v>
      </c>
      <c r="E21" s="8" t="s">
        <v>148</v>
      </c>
      <c r="F21" s="8">
        <v>5.2</v>
      </c>
      <c r="G21" s="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2026-09-20T17:32:03Z</dcterms:created>
  <dcterms:modified xsi:type="dcterms:W3CDTF">2026-10-22T22:36:45Z</dcterms:modified>
  <cp:category/>
  <cp:contentStatus/>
</cp:coreProperties>
</file>